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<sst xmlns="http://schemas.openxmlformats.org/spreadsheetml/2006/main" count="88" uniqueCount="63">
  <si>
    <t>Cruzamento</t>
  </si>
  <si>
    <t>Av. Caxangá x Av. Gal. San Martin</t>
  </si>
  <si>
    <t>Data</t>
  </si>
  <si>
    <t>Coordenadas Geográficas</t>
  </si>
  <si>
    <t>-8.05045, -34.92105</t>
  </si>
  <si>
    <t>Relatório</t>
  </si>
  <si>
    <t>https://docs.google.com/document/d/1urAg1Lw5Nu4A04dTG-8Rd2VK15fSXzCX/edit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</si>
  <si>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</si>
  <si>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</si>
  <si>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</si>
  <si>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</si>
  <si>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</si>
  <si>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</si>
  <si>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</si>
  <si>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</si>
  <si>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</si>
  <si>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</si>
  <si>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</si>
  <si>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</si>
  <si>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</si>
  <si>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</si>
  <si>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</si>
  <si>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Santana</t>
  </si>
  <si>
    <t>Derby</t>
  </si>
  <si>
    <t>San Martin</t>
  </si>
  <si>
    <t>Camaragibe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</si>
  <si>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</si>
  <si>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</si>
  <si>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</si>
  <si>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</si>
  <si>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</si>
  <si>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</si>
  <si>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</si>
  <si>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</si>
  <si>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</si>
  <si>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</si>
  <si>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</si>
  <si>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</si>
  <si>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</si>
  <si>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</si>
  <si>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</si>
  <si>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</si>
  <si>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</si>
  <si>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</si>
  <si>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</si>
  <si>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</si>
  <si>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</si>
  <si>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</si>
  <si>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</si>
  <si>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Faixa BRT - mão</t>
  </si>
  <si>
    <t>Faixa BRT - contramão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</si>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</sst>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vertical="bottom" wrapText="0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10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8" fontId="10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15784346"/>
        <c:axId val="2088689980"/>
      </c:barChart>
      <c:catAx>
        <c:axId val="215784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8689980"/>
      </c:catAx>
      <c:valAx>
        <c:axId val="2088689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5784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883531694"/>
        <c:axId val="1968009719"/>
      </c:barChart>
      <c:catAx>
        <c:axId val="883531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8009719"/>
      </c:catAx>
      <c:valAx>
        <c:axId val="1968009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3531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145208366"/>
        <c:axId val="1243257884"/>
      </c:barChart>
      <c:catAx>
        <c:axId val="21452083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3257884"/>
      </c:catAx>
      <c:valAx>
        <c:axId val="1243257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52083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7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rAg1Lw5Nu4A04dTG-8Rd2VK15fSXzCX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45169.0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4328</v>
      </c>
    </row>
    <row r="6">
      <c r="A6" s="4" t="s">
        <v>8</v>
      </c>
      <c r="B6" s="7">
        <f>MAX(Dados!D15:Q15)</f>
        <v>556</v>
      </c>
    </row>
    <row r="7">
      <c r="A7" s="4" t="s">
        <v>9</v>
      </c>
      <c r="B7" s="8">
        <f>Dados!S20</f>
        <v>0.08895563771</v>
      </c>
    </row>
    <row r="8">
      <c r="A8" s="4" t="s">
        <v>10</v>
      </c>
      <c r="B8" s="8">
        <f>Dados!S21</f>
        <v>0.01317005545</v>
      </c>
    </row>
    <row r="9">
      <c r="A9" s="4" t="s">
        <v>11</v>
      </c>
      <c r="B9" s="8">
        <f>Dados!S22</f>
        <v>0.06608133087</v>
      </c>
    </row>
    <row r="10">
      <c r="A10" s="4" t="s">
        <v>12</v>
      </c>
      <c r="B10" s="8">
        <f>Dados!S23</f>
        <v>0.05083179298</v>
      </c>
    </row>
    <row r="11">
      <c r="A11" s="4" t="s">
        <v>13</v>
      </c>
      <c r="B11" s="8">
        <f>Dados!S24</f>
        <v>0.1446395564</v>
      </c>
    </row>
    <row r="12">
      <c r="A12" s="4" t="s">
        <v>14</v>
      </c>
      <c r="B12" s="8">
        <f>Dados!S25</f>
        <v>0.05244916821</v>
      </c>
    </row>
    <row r="13">
      <c r="A13" s="4" t="s">
        <v>15</v>
      </c>
      <c r="B13" s="8">
        <f>Dados!S26</f>
        <v>0.1522643253</v>
      </c>
    </row>
    <row r="14">
      <c r="A14" s="4" t="s">
        <v>16</v>
      </c>
      <c r="B14" s="8">
        <f>Dados!S27</f>
        <v>0.07647874307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Camaragibe</v>
      </c>
      <c r="D3" s="15">
        <v>15.0</v>
      </c>
      <c r="E3" s="15">
        <v>15.0</v>
      </c>
      <c r="F3" s="15">
        <v>7.0</v>
      </c>
      <c r="G3" s="15">
        <v>10.0</v>
      </c>
      <c r="H3" s="15">
        <v>6.0</v>
      </c>
      <c r="I3" s="15">
        <v>8.0</v>
      </c>
      <c r="J3" s="15">
        <v>3.0</v>
      </c>
      <c r="K3" s="15">
        <v>3.0</v>
      </c>
      <c r="L3" s="15">
        <v>6.0</v>
      </c>
      <c r="M3" s="15">
        <v>6.0</v>
      </c>
      <c r="N3" s="15">
        <v>3.0</v>
      </c>
      <c r="O3" s="16">
        <v>5.0</v>
      </c>
      <c r="P3" s="16">
        <v>5.0</v>
      </c>
      <c r="Q3" s="15">
        <v>6.0</v>
      </c>
      <c r="R3" s="17">
        <f t="shared" ref="R3:R14" si="1">SUM(D3:Q3)</f>
        <v>98</v>
      </c>
      <c r="S3" s="18">
        <f t="shared" ref="S3:S14" si="2">R3/$R$15</f>
        <v>0.02264325323</v>
      </c>
    </row>
    <row r="4" ht="14.25" customHeight="1">
      <c r="A4" s="9"/>
      <c r="B4" s="15" t="str">
        <f>B3</f>
        <v>Santana</v>
      </c>
      <c r="C4" s="15" t="str">
        <f>B9</f>
        <v>San Martin</v>
      </c>
      <c r="D4" s="15">
        <v>64.0</v>
      </c>
      <c r="E4" s="15">
        <v>111.0</v>
      </c>
      <c r="F4" s="15">
        <v>40.0</v>
      </c>
      <c r="G4" s="15">
        <v>25.0</v>
      </c>
      <c r="H4" s="15">
        <v>31.0</v>
      </c>
      <c r="I4" s="15">
        <v>31.0</v>
      </c>
      <c r="J4" s="15">
        <v>39.0</v>
      </c>
      <c r="K4" s="15">
        <v>46.0</v>
      </c>
      <c r="L4" s="15">
        <v>39.0</v>
      </c>
      <c r="M4" s="15">
        <v>41.0</v>
      </c>
      <c r="N4" s="15">
        <v>35.0</v>
      </c>
      <c r="O4" s="16">
        <v>96.0</v>
      </c>
      <c r="P4" s="16">
        <v>46.0</v>
      </c>
      <c r="Q4" s="15">
        <v>52.0</v>
      </c>
      <c r="R4" s="17">
        <f t="shared" si="1"/>
        <v>696</v>
      </c>
      <c r="S4" s="18">
        <f t="shared" si="2"/>
        <v>0.1608133087</v>
      </c>
    </row>
    <row r="5" ht="14.25" customHeight="1">
      <c r="A5" s="9"/>
      <c r="B5" s="15" t="str">
        <f>B3</f>
        <v>Santana</v>
      </c>
      <c r="C5" s="15" t="str">
        <f>B6</f>
        <v>Derby</v>
      </c>
      <c r="D5" s="15">
        <v>16.0</v>
      </c>
      <c r="E5" s="15">
        <v>19.0</v>
      </c>
      <c r="F5" s="15">
        <v>7.0</v>
      </c>
      <c r="G5" s="15">
        <v>15.0</v>
      </c>
      <c r="H5" s="15">
        <v>9.0</v>
      </c>
      <c r="I5" s="15">
        <v>10.0</v>
      </c>
      <c r="J5" s="15">
        <v>5.0</v>
      </c>
      <c r="K5" s="15">
        <v>12.0</v>
      </c>
      <c r="L5" s="15">
        <v>6.0</v>
      </c>
      <c r="M5" s="15">
        <v>10.0</v>
      </c>
      <c r="N5" s="15">
        <v>9.0</v>
      </c>
      <c r="O5" s="16">
        <v>17.0</v>
      </c>
      <c r="P5" s="16">
        <v>6.0</v>
      </c>
      <c r="Q5" s="15">
        <v>3.0</v>
      </c>
      <c r="R5" s="17">
        <f t="shared" si="1"/>
        <v>144</v>
      </c>
      <c r="S5" s="18">
        <f t="shared" si="2"/>
        <v>0.03327171904</v>
      </c>
    </row>
    <row r="6" ht="14.25" customHeight="1">
      <c r="A6" s="9"/>
      <c r="B6" s="14" t="s">
        <v>23</v>
      </c>
      <c r="C6" s="15" t="str">
        <f>B3</f>
        <v>Santana</v>
      </c>
      <c r="D6" s="15">
        <v>15.0</v>
      </c>
      <c r="E6" s="15">
        <v>4.0</v>
      </c>
      <c r="F6" s="15">
        <v>4.0</v>
      </c>
      <c r="G6" s="15">
        <v>8.0</v>
      </c>
      <c r="H6" s="15">
        <v>4.0</v>
      </c>
      <c r="I6" s="15">
        <v>5.0</v>
      </c>
      <c r="J6" s="15">
        <v>2.0</v>
      </c>
      <c r="K6" s="15">
        <v>3.0</v>
      </c>
      <c r="L6" s="15">
        <v>2.0</v>
      </c>
      <c r="M6" s="15">
        <v>1.0</v>
      </c>
      <c r="N6" s="15">
        <v>4.0</v>
      </c>
      <c r="O6" s="16">
        <v>4.0</v>
      </c>
      <c r="P6" s="16">
        <v>6.0</v>
      </c>
      <c r="Q6" s="15">
        <v>2.0</v>
      </c>
      <c r="R6" s="17">
        <f t="shared" si="1"/>
        <v>64</v>
      </c>
      <c r="S6" s="18">
        <f t="shared" si="2"/>
        <v>0.01478743068</v>
      </c>
    </row>
    <row r="7" ht="14.25" customHeight="1">
      <c r="A7" s="9"/>
      <c r="B7" s="15" t="str">
        <f>B6</f>
        <v>Derby</v>
      </c>
      <c r="C7" s="15" t="str">
        <f>B12</f>
        <v>Camaragibe</v>
      </c>
      <c r="D7" s="15">
        <v>54.0</v>
      </c>
      <c r="E7" s="15">
        <v>64.0</v>
      </c>
      <c r="F7" s="15">
        <v>44.0</v>
      </c>
      <c r="G7" s="15">
        <v>56.0</v>
      </c>
      <c r="H7" s="15">
        <v>54.0</v>
      </c>
      <c r="I7" s="15">
        <v>50.0</v>
      </c>
      <c r="J7" s="15">
        <v>46.0</v>
      </c>
      <c r="K7" s="15">
        <v>43.0</v>
      </c>
      <c r="L7" s="15">
        <v>36.0</v>
      </c>
      <c r="M7" s="15">
        <v>52.0</v>
      </c>
      <c r="N7" s="15">
        <v>102.0</v>
      </c>
      <c r="O7" s="16">
        <v>197.0</v>
      </c>
      <c r="P7" s="16">
        <v>112.0</v>
      </c>
      <c r="Q7" s="15">
        <v>62.0</v>
      </c>
      <c r="R7" s="17">
        <f t="shared" si="1"/>
        <v>972</v>
      </c>
      <c r="S7" s="18">
        <f t="shared" si="2"/>
        <v>0.2245841035</v>
      </c>
    </row>
    <row r="8" ht="14.25" customHeight="1">
      <c r="A8" s="9"/>
      <c r="B8" s="15" t="str">
        <f>B6</f>
        <v>Derby</v>
      </c>
      <c r="C8" s="15" t="str">
        <f>B9</f>
        <v>San Martin</v>
      </c>
      <c r="D8" s="15">
        <v>6.0</v>
      </c>
      <c r="E8" s="15">
        <v>11.0</v>
      </c>
      <c r="F8" s="15">
        <v>12.0</v>
      </c>
      <c r="G8" s="15">
        <v>16.0</v>
      </c>
      <c r="H8" s="15">
        <v>9.0</v>
      </c>
      <c r="I8" s="15">
        <v>13.0</v>
      </c>
      <c r="J8" s="15">
        <v>16.0</v>
      </c>
      <c r="K8" s="15">
        <v>9.0</v>
      </c>
      <c r="L8" s="15">
        <v>17.0</v>
      </c>
      <c r="M8" s="15">
        <v>31.0</v>
      </c>
      <c r="N8" s="15">
        <v>23.0</v>
      </c>
      <c r="O8" s="16">
        <v>32.0</v>
      </c>
      <c r="P8" s="16">
        <v>18.0</v>
      </c>
      <c r="Q8" s="15">
        <v>16.0</v>
      </c>
      <c r="R8" s="17">
        <f t="shared" si="1"/>
        <v>229</v>
      </c>
      <c r="S8" s="18">
        <f t="shared" si="2"/>
        <v>0.05291127542</v>
      </c>
    </row>
    <row r="9" ht="14.25" customHeight="1">
      <c r="A9" s="9"/>
      <c r="B9" s="14" t="s">
        <v>24</v>
      </c>
      <c r="C9" s="15" t="str">
        <f>B6</f>
        <v>Derby</v>
      </c>
      <c r="D9" s="15">
        <v>5.0</v>
      </c>
      <c r="E9" s="15">
        <v>8.0</v>
      </c>
      <c r="F9" s="15">
        <v>13.0</v>
      </c>
      <c r="G9" s="15">
        <v>4.0</v>
      </c>
      <c r="H9" s="15">
        <v>7.0</v>
      </c>
      <c r="I9" s="15">
        <v>10.0</v>
      </c>
      <c r="J9" s="15">
        <v>7.0</v>
      </c>
      <c r="K9" s="15">
        <v>19.0</v>
      </c>
      <c r="L9" s="15">
        <v>9.0</v>
      </c>
      <c r="M9" s="15">
        <v>7.0</v>
      </c>
      <c r="N9" s="15">
        <v>14.0</v>
      </c>
      <c r="O9" s="16">
        <v>17.0</v>
      </c>
      <c r="P9" s="16">
        <v>11.0</v>
      </c>
      <c r="Q9" s="15">
        <v>13.0</v>
      </c>
      <c r="R9" s="17">
        <f t="shared" si="1"/>
        <v>144</v>
      </c>
      <c r="S9" s="18">
        <f t="shared" si="2"/>
        <v>0.03327171904</v>
      </c>
    </row>
    <row r="10" ht="14.25" customHeight="1">
      <c r="A10" s="9"/>
      <c r="B10" s="15" t="str">
        <f>B9</f>
        <v>San Martin</v>
      </c>
      <c r="C10" s="15" t="str">
        <f>B3</f>
        <v>Santana</v>
      </c>
      <c r="D10" s="15">
        <v>30.0</v>
      </c>
      <c r="E10" s="15">
        <v>23.0</v>
      </c>
      <c r="F10" s="15">
        <v>16.0</v>
      </c>
      <c r="G10" s="15">
        <v>11.0</v>
      </c>
      <c r="H10" s="15">
        <v>11.0</v>
      </c>
      <c r="I10" s="15">
        <v>20.0</v>
      </c>
      <c r="J10" s="15">
        <v>13.0</v>
      </c>
      <c r="K10" s="15">
        <v>15.0</v>
      </c>
      <c r="L10" s="15">
        <v>18.0</v>
      </c>
      <c r="M10" s="15">
        <v>16.0</v>
      </c>
      <c r="N10" s="15">
        <v>16.0</v>
      </c>
      <c r="O10" s="16">
        <v>28.0</v>
      </c>
      <c r="P10" s="16">
        <v>28.0</v>
      </c>
      <c r="Q10" s="15">
        <v>20.0</v>
      </c>
      <c r="R10" s="17">
        <f t="shared" si="1"/>
        <v>265</v>
      </c>
      <c r="S10" s="18">
        <f t="shared" si="2"/>
        <v>0.06122920518</v>
      </c>
    </row>
    <row r="11" ht="14.25" customHeight="1">
      <c r="A11" s="9"/>
      <c r="B11" s="15" t="str">
        <f>B9</f>
        <v>San Martin</v>
      </c>
      <c r="C11" s="15" t="str">
        <f>B12</f>
        <v>Camaragibe</v>
      </c>
      <c r="D11" s="15">
        <v>17.0</v>
      </c>
      <c r="E11" s="15">
        <v>29.0</v>
      </c>
      <c r="F11" s="15">
        <v>14.0</v>
      </c>
      <c r="G11" s="15">
        <v>14.0</v>
      </c>
      <c r="H11" s="15">
        <v>20.0</v>
      </c>
      <c r="I11" s="15">
        <v>30.0</v>
      </c>
      <c r="J11" s="15">
        <v>35.0</v>
      </c>
      <c r="K11" s="15">
        <v>25.0</v>
      </c>
      <c r="L11" s="15">
        <v>13.0</v>
      </c>
      <c r="M11" s="15">
        <v>27.0</v>
      </c>
      <c r="N11" s="15">
        <v>26.0</v>
      </c>
      <c r="O11" s="16">
        <v>43.0</v>
      </c>
      <c r="P11" s="16">
        <v>25.0</v>
      </c>
      <c r="Q11" s="15">
        <v>23.0</v>
      </c>
      <c r="R11" s="17">
        <f t="shared" si="1"/>
        <v>341</v>
      </c>
      <c r="S11" s="18">
        <f t="shared" si="2"/>
        <v>0.07878927911</v>
      </c>
    </row>
    <row r="12" ht="14.25" customHeight="1">
      <c r="A12" s="9"/>
      <c r="B12" s="14" t="s">
        <v>25</v>
      </c>
      <c r="C12" s="15" t="str">
        <f>B9</f>
        <v>San Martin</v>
      </c>
      <c r="D12" s="15">
        <v>22.0</v>
      </c>
      <c r="E12" s="15">
        <v>41.0</v>
      </c>
      <c r="F12" s="15">
        <v>15.0</v>
      </c>
      <c r="G12" s="15">
        <v>23.0</v>
      </c>
      <c r="H12" s="15">
        <v>24.0</v>
      </c>
      <c r="I12" s="15">
        <v>23.0</v>
      </c>
      <c r="J12" s="15">
        <v>17.0</v>
      </c>
      <c r="K12" s="15">
        <v>30.0</v>
      </c>
      <c r="L12" s="15">
        <v>8.0</v>
      </c>
      <c r="M12" s="15">
        <v>12.0</v>
      </c>
      <c r="N12" s="15">
        <v>19.0</v>
      </c>
      <c r="O12" s="16">
        <v>21.0</v>
      </c>
      <c r="P12" s="16">
        <v>8.0</v>
      </c>
      <c r="Q12" s="15">
        <v>7.0</v>
      </c>
      <c r="R12" s="17">
        <f t="shared" si="1"/>
        <v>270</v>
      </c>
      <c r="S12" s="18">
        <f t="shared" si="2"/>
        <v>0.0623844732</v>
      </c>
    </row>
    <row r="13" ht="14.25" customHeight="1">
      <c r="A13" s="9"/>
      <c r="B13" s="15" t="str">
        <f>B12</f>
        <v>Camaragibe</v>
      </c>
      <c r="C13" s="15" t="str">
        <f>B6</f>
        <v>Derby</v>
      </c>
      <c r="D13" s="15">
        <v>133.0</v>
      </c>
      <c r="E13" s="15">
        <v>160.0</v>
      </c>
      <c r="F13" s="15">
        <v>100.0</v>
      </c>
      <c r="G13" s="15">
        <v>65.0</v>
      </c>
      <c r="H13" s="15">
        <v>53.0</v>
      </c>
      <c r="I13" s="15">
        <v>59.0</v>
      </c>
      <c r="J13" s="15">
        <v>42.0</v>
      </c>
      <c r="K13" s="15">
        <v>55.0</v>
      </c>
      <c r="L13" s="15">
        <v>32.0</v>
      </c>
      <c r="M13" s="15">
        <v>52.0</v>
      </c>
      <c r="N13" s="15">
        <v>56.0</v>
      </c>
      <c r="O13" s="16">
        <v>91.0</v>
      </c>
      <c r="P13" s="16">
        <v>64.0</v>
      </c>
      <c r="Q13" s="15">
        <v>95.0</v>
      </c>
      <c r="R13" s="17">
        <f t="shared" si="1"/>
        <v>1057</v>
      </c>
      <c r="S13" s="18">
        <f t="shared" si="2"/>
        <v>0.2442236599</v>
      </c>
    </row>
    <row r="14" ht="14.25" customHeight="1">
      <c r="A14" s="9"/>
      <c r="B14" s="15" t="str">
        <f>B12</f>
        <v>Camaragibe</v>
      </c>
      <c r="C14" s="15" t="str">
        <f>B3</f>
        <v>Santana</v>
      </c>
      <c r="D14" s="15">
        <v>5.0</v>
      </c>
      <c r="E14" s="15">
        <v>2.0</v>
      </c>
      <c r="F14" s="15">
        <v>2.0</v>
      </c>
      <c r="G14" s="15">
        <v>3.0</v>
      </c>
      <c r="H14" s="15">
        <v>4.0</v>
      </c>
      <c r="I14" s="15">
        <v>2.0</v>
      </c>
      <c r="J14" s="15">
        <v>4.0</v>
      </c>
      <c r="K14" s="15">
        <v>3.0</v>
      </c>
      <c r="L14" s="15">
        <v>3.0</v>
      </c>
      <c r="M14" s="15">
        <v>2.0</v>
      </c>
      <c r="N14" s="15">
        <v>7.0</v>
      </c>
      <c r="O14" s="16">
        <v>5.0</v>
      </c>
      <c r="P14" s="16">
        <v>3.0</v>
      </c>
      <c r="Q14" s="15">
        <v>3.0</v>
      </c>
      <c r="R14" s="17">
        <f t="shared" si="1"/>
        <v>48</v>
      </c>
      <c r="S14" s="18">
        <f t="shared" si="2"/>
        <v>0.01109057301</v>
      </c>
    </row>
    <row r="15" ht="14.25" customHeight="1">
      <c r="A15" s="9"/>
      <c r="B15" s="19"/>
      <c r="C15" s="19" t="s">
        <v>20</v>
      </c>
      <c r="D15" s="17">
        <f t="shared" ref="D15:Q15" si="3">SUM(D3:D14)</f>
        <v>382</v>
      </c>
      <c r="E15" s="17">
        <f t="shared" si="3"/>
        <v>487</v>
      </c>
      <c r="F15" s="17">
        <f t="shared" si="3"/>
        <v>274</v>
      </c>
      <c r="G15" s="17">
        <f t="shared" si="3"/>
        <v>250</v>
      </c>
      <c r="H15" s="17">
        <f t="shared" si="3"/>
        <v>232</v>
      </c>
      <c r="I15" s="17">
        <f t="shared" si="3"/>
        <v>261</v>
      </c>
      <c r="J15" s="17">
        <f t="shared" si="3"/>
        <v>229</v>
      </c>
      <c r="K15" s="17">
        <f t="shared" si="3"/>
        <v>263</v>
      </c>
      <c r="L15" s="17">
        <f t="shared" si="3"/>
        <v>189</v>
      </c>
      <c r="M15" s="17">
        <f t="shared" si="3"/>
        <v>257</v>
      </c>
      <c r="N15" s="17">
        <f t="shared" si="3"/>
        <v>314</v>
      </c>
      <c r="O15" s="17">
        <f t="shared" si="3"/>
        <v>556</v>
      </c>
      <c r="P15" s="17">
        <f t="shared" si="3"/>
        <v>332</v>
      </c>
      <c r="Q15" s="17">
        <f t="shared" si="3"/>
        <v>302</v>
      </c>
      <c r="R15" s="17">
        <f>SUM(R$3:R$14)</f>
        <v>4328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0.08826247689</v>
      </c>
      <c r="E16" s="21">
        <f t="shared" si="4"/>
        <v>0.1125231054</v>
      </c>
      <c r="F16" s="21">
        <f t="shared" si="4"/>
        <v>0.06330868762</v>
      </c>
      <c r="G16" s="21">
        <f t="shared" si="4"/>
        <v>0.05776340111</v>
      </c>
      <c r="H16" s="21">
        <f t="shared" si="4"/>
        <v>0.05360443623</v>
      </c>
      <c r="I16" s="21">
        <f t="shared" si="4"/>
        <v>0.06030499076</v>
      </c>
      <c r="J16" s="21">
        <f t="shared" si="4"/>
        <v>0.05291127542</v>
      </c>
      <c r="K16" s="21">
        <f t="shared" si="4"/>
        <v>0.06076709797</v>
      </c>
      <c r="L16" s="21">
        <f t="shared" si="4"/>
        <v>0.04366913124</v>
      </c>
      <c r="M16" s="21">
        <f t="shared" si="4"/>
        <v>0.05938077634</v>
      </c>
      <c r="N16" s="21">
        <f t="shared" si="4"/>
        <v>0.07255083179</v>
      </c>
      <c r="O16" s="21">
        <f t="shared" si="4"/>
        <v>0.1284658041</v>
      </c>
      <c r="P16" s="21">
        <f t="shared" si="4"/>
        <v>0.07670979667</v>
      </c>
      <c r="Q16" s="21">
        <f t="shared" si="4"/>
        <v>0.06977818854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25.0</v>
      </c>
      <c r="E20" s="16">
        <v>27.0</v>
      </c>
      <c r="F20" s="16">
        <v>23.0</v>
      </c>
      <c r="G20" s="16">
        <v>24.0</v>
      </c>
      <c r="H20" s="16">
        <v>24.0</v>
      </c>
      <c r="I20" s="16">
        <v>40.0</v>
      </c>
      <c r="J20" s="16">
        <v>24.0</v>
      </c>
      <c r="K20" s="16">
        <v>42.0</v>
      </c>
      <c r="L20" s="16">
        <v>24.0</v>
      </c>
      <c r="M20" s="16">
        <v>20.0</v>
      </c>
      <c r="N20" s="16">
        <v>41.0</v>
      </c>
      <c r="O20" s="16">
        <v>16.0</v>
      </c>
      <c r="P20" s="16">
        <v>27.0</v>
      </c>
      <c r="Q20" s="16">
        <v>28.0</v>
      </c>
      <c r="R20" s="12">
        <f t="shared" ref="R20:R27" si="5">SUM(D20:Q20)</f>
        <v>385</v>
      </c>
      <c r="S20" s="13">
        <f t="shared" ref="S20:S27" si="6">R20/$R$15</f>
        <v>0.08895563771</v>
      </c>
    </row>
    <row r="21" ht="14.25" customHeight="1">
      <c r="A21" s="26"/>
      <c r="B21" s="26"/>
      <c r="C21" s="16" t="s">
        <v>10</v>
      </c>
      <c r="D21" s="16">
        <v>1.0</v>
      </c>
      <c r="E21" s="16">
        <v>6.0</v>
      </c>
      <c r="F21" s="16">
        <v>0.0</v>
      </c>
      <c r="G21" s="16">
        <v>3.0</v>
      </c>
      <c r="H21" s="16">
        <v>1.0</v>
      </c>
      <c r="I21" s="16">
        <v>3.0</v>
      </c>
      <c r="J21" s="16">
        <v>9.0</v>
      </c>
      <c r="K21" s="16">
        <v>14.0</v>
      </c>
      <c r="L21" s="16">
        <v>12.0</v>
      </c>
      <c r="M21" s="16">
        <v>1.0</v>
      </c>
      <c r="N21" s="16">
        <v>2.0</v>
      </c>
      <c r="O21" s="16">
        <v>4.0</v>
      </c>
      <c r="P21" s="16">
        <v>0.0</v>
      </c>
      <c r="Q21" s="16">
        <v>1.0</v>
      </c>
      <c r="R21" s="12">
        <f t="shared" si="5"/>
        <v>57</v>
      </c>
      <c r="S21" s="13">
        <f t="shared" si="6"/>
        <v>0.01317005545</v>
      </c>
    </row>
    <row r="22" ht="14.25" customHeight="1">
      <c r="A22" s="26"/>
      <c r="B22" s="26"/>
      <c r="C22" s="16" t="s">
        <v>11</v>
      </c>
      <c r="D22" s="16">
        <v>28.0</v>
      </c>
      <c r="E22" s="16">
        <v>28.0</v>
      </c>
      <c r="F22" s="16">
        <v>17.0</v>
      </c>
      <c r="G22" s="16">
        <v>8.0</v>
      </c>
      <c r="H22" s="16">
        <v>5.0</v>
      </c>
      <c r="I22" s="16">
        <v>8.0</v>
      </c>
      <c r="J22" s="16">
        <v>5.0</v>
      </c>
      <c r="K22" s="16">
        <v>10.0</v>
      </c>
      <c r="L22" s="16">
        <v>12.0</v>
      </c>
      <c r="M22" s="16">
        <v>4.0</v>
      </c>
      <c r="N22" s="16">
        <v>26.0</v>
      </c>
      <c r="O22" s="16">
        <v>34.0</v>
      </c>
      <c r="P22" s="16">
        <v>29.0</v>
      </c>
      <c r="Q22" s="16">
        <v>72.0</v>
      </c>
      <c r="R22" s="12">
        <f t="shared" si="5"/>
        <v>286</v>
      </c>
      <c r="S22" s="13">
        <f t="shared" si="6"/>
        <v>0.06608133087</v>
      </c>
    </row>
    <row r="23" ht="14.25" customHeight="1">
      <c r="A23" s="26"/>
      <c r="B23" s="26"/>
      <c r="C23" s="16" t="s">
        <v>12</v>
      </c>
      <c r="D23" s="16">
        <f t="shared" ref="D23:Q23" si="7">SUM(D32:D34)</f>
        <v>10</v>
      </c>
      <c r="E23" s="16">
        <f t="shared" si="7"/>
        <v>28</v>
      </c>
      <c r="F23" s="16">
        <f t="shared" si="7"/>
        <v>3</v>
      </c>
      <c r="G23" s="16">
        <f t="shared" si="7"/>
        <v>3</v>
      </c>
      <c r="H23" s="16">
        <f t="shared" si="7"/>
        <v>8</v>
      </c>
      <c r="I23" s="16">
        <f t="shared" si="7"/>
        <v>29</v>
      </c>
      <c r="J23" s="16">
        <f t="shared" si="7"/>
        <v>16</v>
      </c>
      <c r="K23" s="16">
        <f t="shared" si="7"/>
        <v>36</v>
      </c>
      <c r="L23" s="16">
        <f t="shared" si="7"/>
        <v>13</v>
      </c>
      <c r="M23" s="16">
        <f t="shared" si="7"/>
        <v>13</v>
      </c>
      <c r="N23" s="16">
        <f t="shared" si="7"/>
        <v>15</v>
      </c>
      <c r="O23" s="16">
        <f t="shared" si="7"/>
        <v>17</v>
      </c>
      <c r="P23" s="16">
        <f t="shared" si="7"/>
        <v>11</v>
      </c>
      <c r="Q23" s="16">
        <f t="shared" si="7"/>
        <v>18</v>
      </c>
      <c r="R23" s="12">
        <f t="shared" si="5"/>
        <v>220</v>
      </c>
      <c r="S23" s="13">
        <f t="shared" si="6"/>
        <v>0.05083179298</v>
      </c>
    </row>
    <row r="24" ht="14.25" customHeight="1">
      <c r="A24" s="26"/>
      <c r="B24" s="26"/>
      <c r="C24" s="16" t="s">
        <v>13</v>
      </c>
      <c r="D24" s="16">
        <f t="shared" ref="D24:Q24" si="8">SUM(D35:D36)</f>
        <v>41</v>
      </c>
      <c r="E24" s="16">
        <f t="shared" si="8"/>
        <v>66</v>
      </c>
      <c r="F24" s="16">
        <f t="shared" si="8"/>
        <v>38</v>
      </c>
      <c r="G24" s="16">
        <f t="shared" si="8"/>
        <v>40</v>
      </c>
      <c r="H24" s="16">
        <f t="shared" si="8"/>
        <v>61</v>
      </c>
      <c r="I24" s="16">
        <f t="shared" si="8"/>
        <v>42</v>
      </c>
      <c r="J24" s="16">
        <f t="shared" si="8"/>
        <v>46</v>
      </c>
      <c r="K24" s="16">
        <f t="shared" si="8"/>
        <v>54</v>
      </c>
      <c r="L24" s="16">
        <f t="shared" si="8"/>
        <v>43</v>
      </c>
      <c r="M24" s="16">
        <f t="shared" si="8"/>
        <v>46</v>
      </c>
      <c r="N24" s="16">
        <f t="shared" si="8"/>
        <v>43</v>
      </c>
      <c r="O24" s="16">
        <f t="shared" si="8"/>
        <v>54</v>
      </c>
      <c r="P24" s="16">
        <f t="shared" si="8"/>
        <v>24</v>
      </c>
      <c r="Q24" s="16">
        <f t="shared" si="8"/>
        <v>28</v>
      </c>
      <c r="R24" s="12">
        <f t="shared" si="5"/>
        <v>626</v>
      </c>
      <c r="S24" s="13">
        <f t="shared" si="6"/>
        <v>0.1446395564</v>
      </c>
    </row>
    <row r="25" ht="14.25" customHeight="1">
      <c r="A25" s="26"/>
      <c r="B25" s="26"/>
      <c r="C25" s="16" t="s">
        <v>14</v>
      </c>
      <c r="D25" s="16">
        <f t="shared" ref="D25:Q25" si="9">SUM(D37:D38)</f>
        <v>4</v>
      </c>
      <c r="E25" s="16">
        <f t="shared" si="9"/>
        <v>8</v>
      </c>
      <c r="F25" s="16">
        <f t="shared" si="9"/>
        <v>6</v>
      </c>
      <c r="G25" s="16">
        <f t="shared" si="9"/>
        <v>7</v>
      </c>
      <c r="H25" s="16">
        <f t="shared" si="9"/>
        <v>19</v>
      </c>
      <c r="I25" s="16">
        <f t="shared" si="9"/>
        <v>17</v>
      </c>
      <c r="J25" s="16">
        <f t="shared" si="9"/>
        <v>23</v>
      </c>
      <c r="K25" s="16">
        <f t="shared" si="9"/>
        <v>23</v>
      </c>
      <c r="L25" s="16">
        <f t="shared" si="9"/>
        <v>20</v>
      </c>
      <c r="M25" s="16">
        <f t="shared" si="9"/>
        <v>29</v>
      </c>
      <c r="N25" s="16">
        <f t="shared" si="9"/>
        <v>22</v>
      </c>
      <c r="O25" s="16">
        <f t="shared" si="9"/>
        <v>13</v>
      </c>
      <c r="P25" s="16">
        <f t="shared" si="9"/>
        <v>14</v>
      </c>
      <c r="Q25" s="16">
        <f t="shared" si="9"/>
        <v>22</v>
      </c>
      <c r="R25" s="12">
        <f t="shared" si="5"/>
        <v>227</v>
      </c>
      <c r="S25" s="13">
        <f t="shared" si="6"/>
        <v>0.05244916821</v>
      </c>
    </row>
    <row r="26" ht="14.25" customHeight="1">
      <c r="A26" s="26"/>
      <c r="B26" s="26"/>
      <c r="C26" s="16" t="s">
        <v>15</v>
      </c>
      <c r="D26" s="16">
        <f t="shared" ref="D26:Q26" si="10">SUM(D39:D40)</f>
        <v>62</v>
      </c>
      <c r="E26" s="16">
        <f t="shared" si="10"/>
        <v>90</v>
      </c>
      <c r="F26" s="16">
        <f t="shared" si="10"/>
        <v>46</v>
      </c>
      <c r="G26" s="16">
        <f t="shared" si="10"/>
        <v>33</v>
      </c>
      <c r="H26" s="16">
        <f t="shared" si="10"/>
        <v>32</v>
      </c>
      <c r="I26" s="16">
        <f t="shared" si="10"/>
        <v>51</v>
      </c>
      <c r="J26" s="16">
        <f t="shared" si="10"/>
        <v>62</v>
      </c>
      <c r="K26" s="16">
        <f t="shared" si="10"/>
        <v>62</v>
      </c>
      <c r="L26" s="16">
        <f t="shared" si="10"/>
        <v>37</v>
      </c>
      <c r="M26" s="16">
        <f t="shared" si="10"/>
        <v>49</v>
      </c>
      <c r="N26" s="16">
        <f t="shared" si="10"/>
        <v>33</v>
      </c>
      <c r="O26" s="16">
        <f t="shared" si="10"/>
        <v>26</v>
      </c>
      <c r="P26" s="16">
        <f t="shared" si="10"/>
        <v>41</v>
      </c>
      <c r="Q26" s="16">
        <f t="shared" si="10"/>
        <v>35</v>
      </c>
      <c r="R26" s="12">
        <f t="shared" si="5"/>
        <v>659</v>
      </c>
      <c r="S26" s="13">
        <f t="shared" si="6"/>
        <v>0.1522643253</v>
      </c>
    </row>
    <row r="27" ht="14.25" customHeight="1">
      <c r="A27" s="26"/>
      <c r="B27" s="26"/>
      <c r="C27" s="16" t="s">
        <v>16</v>
      </c>
      <c r="D27" s="16">
        <v>34.0</v>
      </c>
      <c r="E27" s="16">
        <v>15.0</v>
      </c>
      <c r="F27" s="16">
        <v>9.0</v>
      </c>
      <c r="G27" s="16">
        <v>23.0</v>
      </c>
      <c r="H27" s="16">
        <v>20.0</v>
      </c>
      <c r="I27" s="16">
        <v>27.0</v>
      </c>
      <c r="J27" s="16">
        <v>24.0</v>
      </c>
      <c r="K27" s="16">
        <v>23.0</v>
      </c>
      <c r="L27" s="16">
        <v>28.0</v>
      </c>
      <c r="M27" s="16">
        <v>36.0</v>
      </c>
      <c r="N27" s="16">
        <v>25.0</v>
      </c>
      <c r="O27" s="16">
        <v>11.0</v>
      </c>
      <c r="P27" s="16">
        <v>29.0</v>
      </c>
      <c r="Q27" s="16">
        <v>27.0</v>
      </c>
      <c r="R27" s="12">
        <f t="shared" si="5"/>
        <v>331</v>
      </c>
      <c r="S27" s="13">
        <f t="shared" si="6"/>
        <v>0.07647874307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31">
        <v>6.0</v>
      </c>
      <c r="E32" s="32">
        <v>22.0</v>
      </c>
      <c r="F32" s="31">
        <v>1.0</v>
      </c>
      <c r="G32" s="31">
        <v>1.0</v>
      </c>
      <c r="H32" s="31">
        <v>5.0</v>
      </c>
      <c r="I32" s="31">
        <v>23.0</v>
      </c>
      <c r="J32" s="31">
        <v>8.0</v>
      </c>
      <c r="K32" s="31">
        <v>28.0</v>
      </c>
      <c r="L32" s="31">
        <v>7.0</v>
      </c>
      <c r="M32" s="31">
        <v>3.0</v>
      </c>
      <c r="N32" s="31">
        <v>8.0</v>
      </c>
      <c r="O32" s="31">
        <v>11.0</v>
      </c>
      <c r="P32" s="31">
        <v>3.0</v>
      </c>
      <c r="Q32" s="31">
        <v>11.0</v>
      </c>
      <c r="R32" s="12">
        <f t="shared" ref="R32:R56" si="11">SUM(D32:Q32)</f>
        <v>137</v>
      </c>
      <c r="S32" s="13">
        <f t="shared" ref="S32:S54" si="12">R32/$R$15</f>
        <v>0.03165434381</v>
      </c>
    </row>
    <row r="33" ht="14.25" customHeight="1">
      <c r="A33" s="26"/>
      <c r="B33" s="26"/>
      <c r="C33" s="33" t="s">
        <v>31</v>
      </c>
      <c r="D33" s="16">
        <v>4.0</v>
      </c>
      <c r="E33" s="16">
        <v>6.0</v>
      </c>
      <c r="F33" s="16">
        <v>2.0</v>
      </c>
      <c r="G33" s="16">
        <v>1.0</v>
      </c>
      <c r="H33" s="16">
        <v>3.0</v>
      </c>
      <c r="I33" s="16">
        <v>5.0</v>
      </c>
      <c r="J33" s="16">
        <v>6.0</v>
      </c>
      <c r="K33" s="16">
        <v>7.0</v>
      </c>
      <c r="L33" s="16">
        <v>6.0</v>
      </c>
      <c r="M33" s="16">
        <v>6.0</v>
      </c>
      <c r="N33" s="16">
        <v>7.0</v>
      </c>
      <c r="O33" s="16">
        <v>6.0</v>
      </c>
      <c r="P33" s="16">
        <v>6.0</v>
      </c>
      <c r="Q33" s="16">
        <v>6.0</v>
      </c>
      <c r="R33" s="12">
        <f t="shared" si="11"/>
        <v>71</v>
      </c>
      <c r="S33" s="13">
        <f t="shared" si="12"/>
        <v>0.01640480591</v>
      </c>
    </row>
    <row r="34" ht="14.25" customHeight="1">
      <c r="A34" s="26"/>
      <c r="B34" s="26"/>
      <c r="C34" s="30" t="s">
        <v>32</v>
      </c>
      <c r="D34" s="31">
        <v>0.0</v>
      </c>
      <c r="E34" s="32">
        <v>0.0</v>
      </c>
      <c r="F34" s="31">
        <v>0.0</v>
      </c>
      <c r="G34" s="31">
        <v>1.0</v>
      </c>
      <c r="H34" s="31">
        <v>0.0</v>
      </c>
      <c r="I34" s="31">
        <v>1.0</v>
      </c>
      <c r="J34" s="31">
        <v>2.0</v>
      </c>
      <c r="K34" s="31">
        <v>1.0</v>
      </c>
      <c r="L34" s="31">
        <v>0.0</v>
      </c>
      <c r="M34" s="31">
        <v>4.0</v>
      </c>
      <c r="N34" s="31">
        <v>0.0</v>
      </c>
      <c r="O34" s="31">
        <v>0.0</v>
      </c>
      <c r="P34" s="31">
        <v>2.0</v>
      </c>
      <c r="Q34" s="31">
        <v>1.0</v>
      </c>
      <c r="R34" s="12">
        <f t="shared" si="11"/>
        <v>12</v>
      </c>
      <c r="S34" s="13">
        <f t="shared" si="12"/>
        <v>0.002772643253</v>
      </c>
    </row>
    <row r="35" ht="14.25" customHeight="1">
      <c r="A35" s="26"/>
      <c r="B35" s="26"/>
      <c r="C35" s="33" t="s">
        <v>33</v>
      </c>
      <c r="D35" s="16">
        <v>19.0</v>
      </c>
      <c r="E35" s="16">
        <v>48.0</v>
      </c>
      <c r="F35" s="16">
        <v>22.0</v>
      </c>
      <c r="G35" s="16">
        <v>23.0</v>
      </c>
      <c r="H35" s="16">
        <v>40.0</v>
      </c>
      <c r="I35" s="16">
        <v>23.0</v>
      </c>
      <c r="J35" s="16">
        <v>29.0</v>
      </c>
      <c r="K35" s="16">
        <v>24.0</v>
      </c>
      <c r="L35" s="16">
        <v>20.0</v>
      </c>
      <c r="M35" s="16">
        <v>29.0</v>
      </c>
      <c r="N35" s="16">
        <v>26.0</v>
      </c>
      <c r="O35" s="16">
        <v>29.0</v>
      </c>
      <c r="P35" s="16">
        <v>16.0</v>
      </c>
      <c r="Q35" s="16">
        <v>15.0</v>
      </c>
      <c r="R35" s="12">
        <f t="shared" si="11"/>
        <v>363</v>
      </c>
      <c r="S35" s="13">
        <f t="shared" si="12"/>
        <v>0.08387245841</v>
      </c>
    </row>
    <row r="36" ht="14.25" customHeight="1">
      <c r="A36" s="26"/>
      <c r="B36" s="26"/>
      <c r="C36" s="30" t="s">
        <v>34</v>
      </c>
      <c r="D36" s="31">
        <v>22.0</v>
      </c>
      <c r="E36" s="32">
        <v>18.0</v>
      </c>
      <c r="F36" s="31">
        <v>16.0</v>
      </c>
      <c r="G36" s="31">
        <v>17.0</v>
      </c>
      <c r="H36" s="31">
        <v>21.0</v>
      </c>
      <c r="I36" s="31">
        <v>19.0</v>
      </c>
      <c r="J36" s="31">
        <v>17.0</v>
      </c>
      <c r="K36" s="31">
        <v>30.0</v>
      </c>
      <c r="L36" s="31">
        <v>23.0</v>
      </c>
      <c r="M36" s="31">
        <v>17.0</v>
      </c>
      <c r="N36" s="31">
        <v>17.0</v>
      </c>
      <c r="O36" s="31">
        <v>25.0</v>
      </c>
      <c r="P36" s="31">
        <v>8.0</v>
      </c>
      <c r="Q36" s="31">
        <v>13.0</v>
      </c>
      <c r="R36" s="12">
        <f t="shared" si="11"/>
        <v>263</v>
      </c>
      <c r="S36" s="13">
        <f t="shared" si="12"/>
        <v>0.06076709797</v>
      </c>
    </row>
    <row r="37" ht="14.25" customHeight="1">
      <c r="A37" s="26"/>
      <c r="B37" s="26"/>
      <c r="C37" s="33" t="s">
        <v>14</v>
      </c>
      <c r="D37" s="16">
        <v>3.0</v>
      </c>
      <c r="E37" s="16">
        <v>7.0</v>
      </c>
      <c r="F37" s="16">
        <v>4.0</v>
      </c>
      <c r="G37" s="16">
        <v>6.0</v>
      </c>
      <c r="H37" s="16">
        <v>9.0</v>
      </c>
      <c r="I37" s="16">
        <v>7.0</v>
      </c>
      <c r="J37" s="16">
        <v>2.0</v>
      </c>
      <c r="K37" s="16">
        <v>6.0</v>
      </c>
      <c r="L37" s="16">
        <v>3.0</v>
      </c>
      <c r="M37" s="16">
        <v>13.0</v>
      </c>
      <c r="N37" s="16">
        <v>8.0</v>
      </c>
      <c r="O37" s="16">
        <v>4.0</v>
      </c>
      <c r="P37" s="16">
        <v>1.0</v>
      </c>
      <c r="Q37" s="16">
        <v>0.0</v>
      </c>
      <c r="R37" s="12">
        <f t="shared" si="11"/>
        <v>73</v>
      </c>
      <c r="S37" s="13">
        <f t="shared" si="12"/>
        <v>0.01686691312</v>
      </c>
    </row>
    <row r="38" ht="14.25" customHeight="1">
      <c r="A38" s="26"/>
      <c r="B38" s="26"/>
      <c r="C38" s="30" t="s">
        <v>35</v>
      </c>
      <c r="D38" s="31">
        <v>1.0</v>
      </c>
      <c r="E38" s="32">
        <v>1.0</v>
      </c>
      <c r="F38" s="31">
        <v>2.0</v>
      </c>
      <c r="G38" s="31">
        <v>1.0</v>
      </c>
      <c r="H38" s="31">
        <v>10.0</v>
      </c>
      <c r="I38" s="31">
        <v>10.0</v>
      </c>
      <c r="J38" s="31">
        <v>21.0</v>
      </c>
      <c r="K38" s="31">
        <v>17.0</v>
      </c>
      <c r="L38" s="31">
        <v>17.0</v>
      </c>
      <c r="M38" s="31">
        <v>16.0</v>
      </c>
      <c r="N38" s="31">
        <v>14.0</v>
      </c>
      <c r="O38" s="31">
        <v>9.0</v>
      </c>
      <c r="P38" s="31">
        <v>13.0</v>
      </c>
      <c r="Q38" s="31">
        <v>22.0</v>
      </c>
      <c r="R38" s="12">
        <f t="shared" si="11"/>
        <v>154</v>
      </c>
      <c r="S38" s="13">
        <f t="shared" si="12"/>
        <v>0.03558225508</v>
      </c>
    </row>
    <row r="39" ht="14.25" customHeight="1">
      <c r="A39" s="26"/>
      <c r="B39" s="26"/>
      <c r="C39" s="33" t="s">
        <v>15</v>
      </c>
      <c r="D39" s="16">
        <v>58.0</v>
      </c>
      <c r="E39" s="34">
        <v>85.0</v>
      </c>
      <c r="F39" s="16">
        <v>35.0</v>
      </c>
      <c r="G39" s="16">
        <v>28.0</v>
      </c>
      <c r="H39" s="16">
        <v>24.0</v>
      </c>
      <c r="I39" s="16">
        <v>34.0</v>
      </c>
      <c r="J39" s="16">
        <v>24.0</v>
      </c>
      <c r="K39" s="16">
        <v>24.0</v>
      </c>
      <c r="L39" s="16">
        <v>20.0</v>
      </c>
      <c r="M39" s="16">
        <v>22.0</v>
      </c>
      <c r="N39" s="16">
        <v>26.0</v>
      </c>
      <c r="O39" s="16">
        <v>24.0</v>
      </c>
      <c r="P39" s="16">
        <v>27.0</v>
      </c>
      <c r="Q39" s="16">
        <v>15.0</v>
      </c>
      <c r="R39" s="12">
        <f t="shared" si="11"/>
        <v>446</v>
      </c>
      <c r="S39" s="13">
        <f t="shared" si="12"/>
        <v>0.1030499076</v>
      </c>
    </row>
    <row r="40" ht="14.25" customHeight="1">
      <c r="A40" s="26"/>
      <c r="B40" s="26"/>
      <c r="C40" s="30" t="s">
        <v>36</v>
      </c>
      <c r="D40" s="16">
        <v>4.0</v>
      </c>
      <c r="E40" s="16">
        <v>5.0</v>
      </c>
      <c r="F40" s="16">
        <v>11.0</v>
      </c>
      <c r="G40" s="16">
        <v>5.0</v>
      </c>
      <c r="H40" s="16">
        <v>8.0</v>
      </c>
      <c r="I40" s="16">
        <v>17.0</v>
      </c>
      <c r="J40" s="16">
        <v>38.0</v>
      </c>
      <c r="K40" s="16">
        <v>38.0</v>
      </c>
      <c r="L40" s="16">
        <v>17.0</v>
      </c>
      <c r="M40" s="16">
        <v>27.0</v>
      </c>
      <c r="N40" s="16">
        <v>7.0</v>
      </c>
      <c r="O40" s="16">
        <v>2.0</v>
      </c>
      <c r="P40" s="16">
        <v>14.0</v>
      </c>
      <c r="Q40" s="16">
        <v>20.0</v>
      </c>
      <c r="R40" s="12">
        <f t="shared" si="11"/>
        <v>213</v>
      </c>
      <c r="S40" s="13">
        <f t="shared" si="12"/>
        <v>0.04921441774</v>
      </c>
    </row>
    <row r="41" ht="14.25" customHeight="1">
      <c r="A41" s="26"/>
      <c r="B41" s="26"/>
      <c r="C41" s="33" t="s">
        <v>37</v>
      </c>
      <c r="D41" s="16">
        <v>5.0</v>
      </c>
      <c r="E41" s="16">
        <v>2.0</v>
      </c>
      <c r="F41" s="16">
        <v>4.0</v>
      </c>
      <c r="G41" s="16">
        <v>2.0</v>
      </c>
      <c r="H41" s="16">
        <v>4.0</v>
      </c>
      <c r="I41" s="16">
        <v>6.0</v>
      </c>
      <c r="J41" s="16">
        <v>5.0</v>
      </c>
      <c r="K41" s="16">
        <v>4.0</v>
      </c>
      <c r="L41" s="16">
        <v>3.0</v>
      </c>
      <c r="M41" s="16">
        <v>8.0</v>
      </c>
      <c r="N41" s="16">
        <v>2.0</v>
      </c>
      <c r="O41" s="16">
        <v>11.0</v>
      </c>
      <c r="P41" s="16">
        <v>5.0</v>
      </c>
      <c r="Q41" s="16">
        <v>4.0</v>
      </c>
      <c r="R41" s="12">
        <f t="shared" si="11"/>
        <v>65</v>
      </c>
      <c r="S41" s="13">
        <f t="shared" si="12"/>
        <v>0.01501848429</v>
      </c>
    </row>
    <row r="42" ht="14.25" customHeight="1">
      <c r="A42" s="26"/>
      <c r="B42" s="26"/>
      <c r="C42" s="16" t="s">
        <v>38</v>
      </c>
      <c r="D42" s="16">
        <v>2.0</v>
      </c>
      <c r="E42" s="16">
        <v>1.0</v>
      </c>
      <c r="F42" s="16">
        <v>16.0</v>
      </c>
      <c r="G42" s="16">
        <v>11.0</v>
      </c>
      <c r="H42" s="16">
        <v>8.0</v>
      </c>
      <c r="I42" s="16">
        <v>6.0</v>
      </c>
      <c r="J42" s="16">
        <v>6.0</v>
      </c>
      <c r="K42" s="16">
        <v>4.0</v>
      </c>
      <c r="L42" s="16">
        <v>1.0</v>
      </c>
      <c r="M42" s="16">
        <v>1.0</v>
      </c>
      <c r="N42" s="34">
        <v>10.0</v>
      </c>
      <c r="O42" s="16">
        <v>4.0</v>
      </c>
      <c r="P42" s="16">
        <v>10.0</v>
      </c>
      <c r="Q42" s="16">
        <v>4.0</v>
      </c>
      <c r="R42" s="12">
        <f t="shared" si="11"/>
        <v>84</v>
      </c>
      <c r="S42" s="13">
        <f t="shared" si="12"/>
        <v>0.01940850277</v>
      </c>
    </row>
    <row r="43" ht="14.25" customHeight="1">
      <c r="A43" s="26"/>
      <c r="B43" s="26"/>
      <c r="C43" s="16" t="s">
        <v>39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P43" s="16"/>
      <c r="Q43" s="16"/>
      <c r="R43" s="12">
        <f t="shared" si="11"/>
        <v>0</v>
      </c>
      <c r="S43" s="13">
        <f t="shared" si="12"/>
        <v>0</v>
      </c>
    </row>
    <row r="44" ht="14.25" customHeight="1">
      <c r="A44" s="26"/>
      <c r="B44" s="26"/>
      <c r="C44" s="16" t="s">
        <v>40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O44" s="16"/>
      <c r="P44" s="16"/>
      <c r="Q44" s="16"/>
      <c r="R44" s="12">
        <f t="shared" si="11"/>
        <v>0</v>
      </c>
      <c r="S44" s="13">
        <f t="shared" si="12"/>
        <v>0</v>
      </c>
    </row>
    <row r="45" ht="14.25" customHeight="1">
      <c r="A45" s="26"/>
      <c r="B45" s="26"/>
      <c r="C45" s="16" t="s">
        <v>41</v>
      </c>
      <c r="D45" s="16"/>
      <c r="E45" s="16"/>
      <c r="F45" s="16"/>
      <c r="G45" s="16"/>
      <c r="H45" s="16"/>
      <c r="I45" s="16"/>
      <c r="J45" s="16">
        <v>1.0</v>
      </c>
      <c r="K45" s="16"/>
      <c r="L45" s="16"/>
      <c r="M45" s="16"/>
      <c r="O45" s="16"/>
      <c r="P45" s="16"/>
      <c r="Q45" s="16"/>
      <c r="R45" s="12">
        <f t="shared" si="11"/>
        <v>1</v>
      </c>
      <c r="S45" s="13">
        <f t="shared" si="12"/>
        <v>0.0002310536044</v>
      </c>
    </row>
    <row r="46" ht="14.25" customHeight="1">
      <c r="A46" s="26"/>
      <c r="B46" s="26"/>
      <c r="C46" s="16" t="s">
        <v>42</v>
      </c>
      <c r="D46" s="16">
        <v>1.0</v>
      </c>
      <c r="E46" s="16"/>
      <c r="F46" s="16"/>
      <c r="G46" s="16"/>
      <c r="H46" s="16"/>
      <c r="I46" s="16">
        <v>1.0</v>
      </c>
      <c r="J46" s="16">
        <v>1.0</v>
      </c>
      <c r="K46" s="16"/>
      <c r="L46" s="16"/>
      <c r="M46" s="16"/>
      <c r="N46">
        <f>2+1</f>
        <v>3</v>
      </c>
      <c r="O46" s="16"/>
      <c r="P46" s="16"/>
      <c r="Q46" s="16"/>
      <c r="R46" s="12">
        <f t="shared" si="11"/>
        <v>6</v>
      </c>
      <c r="S46" s="13">
        <f t="shared" si="12"/>
        <v>0.001386321627</v>
      </c>
    </row>
    <row r="47" ht="14.25" customHeight="1">
      <c r="A47" s="26"/>
      <c r="B47" s="26"/>
      <c r="C47" s="16" t="s">
        <v>43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O47" s="16"/>
      <c r="P47" s="16"/>
      <c r="Q47" s="16"/>
      <c r="R47" s="12">
        <f t="shared" si="11"/>
        <v>0</v>
      </c>
      <c r="S47" s="13">
        <f t="shared" si="12"/>
        <v>0</v>
      </c>
    </row>
    <row r="48" ht="14.25" customHeight="1">
      <c r="A48" s="35"/>
      <c r="B48" s="35"/>
      <c r="C48" s="16" t="s">
        <v>44</v>
      </c>
      <c r="D48" s="16"/>
      <c r="E48" s="16">
        <v>1.0</v>
      </c>
      <c r="F48" s="16"/>
      <c r="G48" s="16"/>
      <c r="H48" s="16"/>
      <c r="I48" s="16"/>
      <c r="J48" s="16"/>
      <c r="K48" s="16"/>
      <c r="L48" s="16"/>
      <c r="M48" s="16"/>
      <c r="O48" s="16"/>
      <c r="P48" s="16"/>
      <c r="Q48" s="16"/>
      <c r="R48" s="12">
        <f t="shared" si="11"/>
        <v>1</v>
      </c>
      <c r="S48" s="13">
        <f t="shared" si="12"/>
        <v>0.0002310536044</v>
      </c>
    </row>
    <row r="49" ht="14.25" customHeight="1">
      <c r="A49" s="26"/>
      <c r="B49" s="26"/>
      <c r="C49" s="16" t="s">
        <v>45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O49" s="16"/>
      <c r="P49" s="16"/>
      <c r="Q49" s="16"/>
      <c r="R49" s="12">
        <f t="shared" si="11"/>
        <v>0</v>
      </c>
      <c r="S49" s="13">
        <f t="shared" si="12"/>
        <v>0</v>
      </c>
    </row>
    <row r="50" ht="14.25" customHeight="1">
      <c r="A50" s="26"/>
      <c r="B50" s="26"/>
      <c r="C50" s="16" t="s">
        <v>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O50" s="16"/>
      <c r="P50" s="16"/>
      <c r="Q50" s="16"/>
      <c r="R50" s="12">
        <f t="shared" si="11"/>
        <v>0</v>
      </c>
      <c r="S50" s="13">
        <f t="shared" si="12"/>
        <v>0</v>
      </c>
    </row>
    <row r="51" ht="14.25" customHeight="1">
      <c r="A51" s="35"/>
      <c r="B51" s="35"/>
      <c r="C51" s="16" t="s">
        <v>47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O51" s="16"/>
      <c r="P51" s="16"/>
      <c r="Q51" s="16"/>
      <c r="R51" s="12">
        <f t="shared" si="11"/>
        <v>0</v>
      </c>
      <c r="S51" s="13">
        <f t="shared" si="12"/>
        <v>0</v>
      </c>
    </row>
    <row r="52" ht="14.25" customHeight="1">
      <c r="A52" s="35"/>
      <c r="B52" s="35"/>
      <c r="C52" s="16" t="s">
        <v>48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O52" s="16"/>
      <c r="P52" s="16"/>
      <c r="Q52" s="16"/>
      <c r="R52" s="12">
        <f t="shared" si="11"/>
        <v>0</v>
      </c>
      <c r="S52" s="13">
        <f t="shared" si="12"/>
        <v>0</v>
      </c>
    </row>
    <row r="53" ht="14.25" customHeight="1">
      <c r="A53" s="35"/>
      <c r="B53" s="35"/>
      <c r="C53" s="16" t="s">
        <v>49</v>
      </c>
      <c r="D53" s="16">
        <f>114+7</f>
        <v>121</v>
      </c>
      <c r="E53" s="16">
        <v>121.0</v>
      </c>
      <c r="F53" s="16">
        <v>58.0</v>
      </c>
      <c r="G53" s="16">
        <v>32.0</v>
      </c>
      <c r="H53" s="16">
        <v>49.0</v>
      </c>
      <c r="I53" s="16">
        <v>49.0</v>
      </c>
      <c r="J53" s="16">
        <v>43.0</v>
      </c>
      <c r="K53" s="16">
        <v>61.0</v>
      </c>
      <c r="L53" s="16">
        <v>55.0</v>
      </c>
      <c r="M53" s="16">
        <v>53.0</v>
      </c>
      <c r="N53" s="34">
        <v>85.0</v>
      </c>
      <c r="O53" s="16">
        <v>127.0</v>
      </c>
      <c r="P53" s="16">
        <v>14.0</v>
      </c>
      <c r="Q53" s="16">
        <v>98.0</v>
      </c>
      <c r="R53" s="12">
        <f t="shared" si="11"/>
        <v>966</v>
      </c>
      <c r="S53" s="13">
        <f t="shared" si="12"/>
        <v>0.2231977819</v>
      </c>
    </row>
    <row r="54" ht="14.25" customHeight="1">
      <c r="A54" s="35"/>
      <c r="B54" s="35"/>
      <c r="C54" s="16" t="s">
        <v>50</v>
      </c>
      <c r="D54" s="16">
        <v>38.0</v>
      </c>
      <c r="E54" s="16">
        <v>44.0</v>
      </c>
      <c r="F54" s="16">
        <v>24.0</v>
      </c>
      <c r="G54" s="16">
        <v>19.0</v>
      </c>
      <c r="H54" s="16">
        <v>27.0</v>
      </c>
      <c r="I54" s="16">
        <v>18.0</v>
      </c>
      <c r="J54" s="16">
        <v>4.0</v>
      </c>
      <c r="K54" s="16">
        <v>20.0</v>
      </c>
      <c r="L54" s="16">
        <v>4.0</v>
      </c>
      <c r="M54" s="16">
        <v>6.0</v>
      </c>
      <c r="N54" s="34">
        <v>16.0</v>
      </c>
      <c r="O54" s="16">
        <v>18.0</v>
      </c>
      <c r="P54" s="16">
        <v>83.0</v>
      </c>
      <c r="Q54" s="16">
        <v>10.0</v>
      </c>
      <c r="R54" s="12">
        <f t="shared" si="11"/>
        <v>331</v>
      </c>
      <c r="S54" s="13">
        <f t="shared" si="12"/>
        <v>0.07647874307</v>
      </c>
    </row>
    <row r="55" ht="14.25" customHeight="1">
      <c r="A55" s="35"/>
      <c r="B55" s="3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O55" s="16"/>
      <c r="P55" s="16"/>
      <c r="Q55" s="16"/>
      <c r="R55" s="12">
        <f t="shared" si="11"/>
        <v>0</v>
      </c>
      <c r="S55" s="13"/>
    </row>
    <row r="56" ht="14.25" customHeight="1">
      <c r="A56" s="35"/>
      <c r="B56" s="35"/>
      <c r="C56" s="16" t="s">
        <v>51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2">
        <f t="shared" si="11"/>
        <v>0</v>
      </c>
      <c r="S56" s="13">
        <f>R56/$R$15</f>
        <v>0</v>
      </c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13"/>
    </row>
  </sheetData>
  <mergeCells count="3">
    <mergeCell ref="B1:S1"/>
    <mergeCell ref="C18:S18"/>
    <mergeCell ref="C30:S3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Santana</v>
      </c>
      <c r="B3" t="str">
        <f>Dados!C3</f>
        <v>Camaragibe</v>
      </c>
      <c r="F3" s="34">
        <v>4.0</v>
      </c>
      <c r="G3" t="s">
        <v>19</v>
      </c>
      <c r="Q3">
        <f>HLOOKUP($A$1,Dados!$D$2:$S$14,F1,0)</f>
        <v>98</v>
      </c>
    </row>
    <row r="4">
      <c r="A4" t="str">
        <f>Dados!B4</f>
        <v>Santana</v>
      </c>
      <c r="B4" t="str">
        <f>Dados!C4</f>
        <v>San Martin</v>
      </c>
      <c r="F4" s="34">
        <v>5.0</v>
      </c>
      <c r="G4">
        <v>6.0</v>
      </c>
      <c r="Q4">
        <f>HLOOKUP($A$1,Dados!$D$2:$S$14,F2,0)</f>
        <v>696</v>
      </c>
    </row>
    <row r="5">
      <c r="A5" t="str">
        <f>Dados!B5</f>
        <v>Santana</v>
      </c>
      <c r="B5" t="str">
        <f>Dados!C5</f>
        <v>Derby</v>
      </c>
      <c r="F5" s="34">
        <v>6.0</v>
      </c>
      <c r="G5">
        <v>7.0</v>
      </c>
      <c r="Q5">
        <f>HLOOKUP($A$1,Dados!$D$2:$S$14,F3,0)</f>
        <v>144</v>
      </c>
    </row>
    <row r="6">
      <c r="A6" t="str">
        <f>Dados!B6</f>
        <v>Derby</v>
      </c>
      <c r="B6" t="str">
        <f>Dados!C6</f>
        <v>Santana</v>
      </c>
      <c r="F6" s="34">
        <v>7.0</v>
      </c>
      <c r="G6">
        <v>8.0</v>
      </c>
      <c r="Q6">
        <f>HLOOKUP($A$1,Dados!$D$2:$S$14,F4,0)</f>
        <v>64</v>
      </c>
    </row>
    <row r="7">
      <c r="A7" t="str">
        <f>Dados!B7</f>
        <v>Derby</v>
      </c>
      <c r="B7" t="str">
        <f>Dados!C7</f>
        <v>Camaragibe</v>
      </c>
      <c r="F7" s="34">
        <v>8.0</v>
      </c>
      <c r="G7">
        <v>9.0</v>
      </c>
      <c r="Q7">
        <f>HLOOKUP($A$1,Dados!$D$2:$S$14,F5,0)</f>
        <v>972</v>
      </c>
    </row>
    <row r="8">
      <c r="A8" t="str">
        <f>Dados!B8</f>
        <v>Derby</v>
      </c>
      <c r="B8" t="str">
        <f>Dados!C8</f>
        <v>San Martin</v>
      </c>
      <c r="F8" s="34">
        <v>9.0</v>
      </c>
      <c r="G8">
        <v>10.0</v>
      </c>
      <c r="Q8">
        <f>HLOOKUP($A$1,Dados!$D$2:$S$14,F6,0)</f>
        <v>229</v>
      </c>
    </row>
    <row r="9">
      <c r="A9" t="str">
        <f>Dados!B9</f>
        <v>San Martin</v>
      </c>
      <c r="B9" t="str">
        <f>Dados!C9</f>
        <v>Derby</v>
      </c>
      <c r="F9" s="34">
        <v>10.0</v>
      </c>
      <c r="G9">
        <v>11.0</v>
      </c>
      <c r="Q9">
        <f>HLOOKUP($A$1,Dados!$D$2:$S$14,F7,0)</f>
        <v>144</v>
      </c>
    </row>
    <row r="10">
      <c r="A10" t="str">
        <f>Dados!B10</f>
        <v>San Martin</v>
      </c>
      <c r="B10" t="str">
        <f>Dados!C10</f>
        <v>Santana</v>
      </c>
      <c r="F10" s="34">
        <v>11.0</v>
      </c>
      <c r="G10">
        <v>12.0</v>
      </c>
      <c r="Q10">
        <f>HLOOKUP($A$1,Dados!$D$2:$S$14,F8,0)</f>
        <v>265</v>
      </c>
    </row>
    <row r="11">
      <c r="A11" t="str">
        <f>Dados!B11</f>
        <v>San Martin</v>
      </c>
      <c r="B11" t="str">
        <f>Dados!C11</f>
        <v>Camaragibe</v>
      </c>
      <c r="F11" s="34">
        <v>12.0</v>
      </c>
      <c r="G11">
        <v>13.0</v>
      </c>
      <c r="Q11">
        <f>HLOOKUP($A$1,Dados!$D$2:$S$14,F9,0)</f>
        <v>341</v>
      </c>
    </row>
    <row r="12">
      <c r="A12" t="str">
        <f>Dados!B12</f>
        <v>Camaragibe</v>
      </c>
      <c r="B12" t="str">
        <f>Dados!C12</f>
        <v>San Martin</v>
      </c>
      <c r="F12" s="34">
        <v>13.0</v>
      </c>
      <c r="G12">
        <v>14.0</v>
      </c>
      <c r="Q12">
        <f>HLOOKUP($A$1,Dados!$D$2:$S$14,F10,0)</f>
        <v>270</v>
      </c>
    </row>
    <row r="13">
      <c r="A13" t="str">
        <f>Dados!B13</f>
        <v>Camaragibe</v>
      </c>
      <c r="B13" t="str">
        <f>Dados!C13</f>
        <v>Derby</v>
      </c>
      <c r="G13">
        <v>15.0</v>
      </c>
      <c r="Q13">
        <f>HLOOKUP($A$1,Dados!$D$2:$S$14,F11,0)</f>
        <v>1057</v>
      </c>
    </row>
    <row r="14">
      <c r="A14" t="str">
        <f>Dados!B14</f>
        <v>Camaragibe</v>
      </c>
      <c r="B14" t="str">
        <f>Dados!C14</f>
        <v>Santana</v>
      </c>
      <c r="G14">
        <v>16.0</v>
      </c>
      <c r="Q14">
        <f>HLOOKUP($A$1,Dados!$D$2:$S$14,F12,0)</f>
        <v>48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52</v>
      </c>
    </row>
    <row r="2">
      <c r="A2" s="38" t="s">
        <v>53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54</v>
      </c>
      <c r="B3" s="41">
        <f>Dados!D15-B4-B5</f>
        <v>356</v>
      </c>
      <c r="C3" s="41">
        <f>Dados!E15-C4-C5</f>
        <v>454</v>
      </c>
      <c r="D3" s="41">
        <f>Dados!F15-D4-D5</f>
        <v>251</v>
      </c>
      <c r="E3" s="41">
        <f>Dados!G15-E4-E5</f>
        <v>223</v>
      </c>
      <c r="F3" s="41">
        <f>Dados!H15-F4-F5</f>
        <v>207</v>
      </c>
      <c r="G3" s="41">
        <f>Dados!I15-G4-G5</f>
        <v>218</v>
      </c>
      <c r="H3" s="41">
        <f>Dados!J15-H4-H5</f>
        <v>196</v>
      </c>
      <c r="I3" s="41">
        <f>Dados!K15-I4-I5</f>
        <v>207</v>
      </c>
      <c r="J3" s="41">
        <f>Dados!L15-J4-J5</f>
        <v>153</v>
      </c>
      <c r="K3" s="41">
        <f>Dados!M15-K4-K5</f>
        <v>236</v>
      </c>
      <c r="L3" s="41">
        <f>Dados!N15-L4-L5</f>
        <v>271</v>
      </c>
      <c r="M3" s="41">
        <f>Dados!O15-M4-M5</f>
        <v>536</v>
      </c>
      <c r="N3" s="41">
        <f>Dados!P15-N4-N5</f>
        <v>305</v>
      </c>
      <c r="O3" s="41">
        <f>Dados!Q15-O4-O5</f>
        <v>273</v>
      </c>
    </row>
    <row r="4">
      <c r="A4" s="38" t="s">
        <v>55</v>
      </c>
      <c r="B4" s="39">
        <f>Dados!D20</f>
        <v>25</v>
      </c>
      <c r="C4" s="39">
        <f>Dados!E20</f>
        <v>27</v>
      </c>
      <c r="D4" s="39">
        <f>Dados!F20</f>
        <v>23</v>
      </c>
      <c r="E4" s="39">
        <f>Dados!G20</f>
        <v>24</v>
      </c>
      <c r="F4" s="39">
        <f>Dados!H20</f>
        <v>24</v>
      </c>
      <c r="G4" s="39">
        <f>Dados!I20</f>
        <v>40</v>
      </c>
      <c r="H4" s="39">
        <f>Dados!J20</f>
        <v>24</v>
      </c>
      <c r="I4" s="39">
        <f>Dados!K20</f>
        <v>42</v>
      </c>
      <c r="J4" s="42">
        <f>Dados!L20</f>
        <v>24</v>
      </c>
      <c r="K4" s="39">
        <f>Dados!M20</f>
        <v>20</v>
      </c>
      <c r="L4" s="39">
        <f>Dados!N20</f>
        <v>41</v>
      </c>
      <c r="M4" s="39">
        <f>Dados!O20</f>
        <v>16</v>
      </c>
      <c r="N4" s="39">
        <f>Dados!P20</f>
        <v>27</v>
      </c>
      <c r="O4" s="39">
        <f>Dados!Q20</f>
        <v>28</v>
      </c>
    </row>
    <row r="5">
      <c r="A5" s="40" t="s">
        <v>10</v>
      </c>
      <c r="B5" s="43">
        <f>Dados!D21</f>
        <v>1</v>
      </c>
      <c r="C5" s="43">
        <f>Dados!E21</f>
        <v>6</v>
      </c>
      <c r="D5" s="43">
        <f>Dados!F21</f>
        <v>0</v>
      </c>
      <c r="E5" s="43">
        <f>Dados!G21</f>
        <v>3</v>
      </c>
      <c r="F5" s="43">
        <f>Dados!H21</f>
        <v>1</v>
      </c>
      <c r="G5" s="43">
        <f>Dados!I21</f>
        <v>3</v>
      </c>
      <c r="H5" s="43">
        <f>Dados!J21</f>
        <v>9</v>
      </c>
      <c r="I5" s="43">
        <f>Dados!K21</f>
        <v>14</v>
      </c>
      <c r="J5" s="43">
        <f>Dados!L21</f>
        <v>12</v>
      </c>
      <c r="K5" s="43">
        <f>Dados!M21</f>
        <v>1</v>
      </c>
      <c r="L5" s="43">
        <f>Dados!N21</f>
        <v>2</v>
      </c>
      <c r="M5" s="43">
        <f>Dados!O21</f>
        <v>4</v>
      </c>
      <c r="N5" s="43">
        <f>Dados!P21</f>
        <v>0</v>
      </c>
      <c r="O5" s="43">
        <f>Dados!Q21</f>
        <v>1</v>
      </c>
    </row>
    <row r="7">
      <c r="A7" s="44" t="s">
        <v>56</v>
      </c>
    </row>
    <row r="8">
      <c r="A8" s="45" t="s">
        <v>57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55</v>
      </c>
      <c r="B9" s="47">
        <f>B4/Dados!D$15</f>
        <v>0.06544502618</v>
      </c>
      <c r="C9" s="47">
        <f>C4/Dados!E$15</f>
        <v>0.05544147844</v>
      </c>
      <c r="D9" s="47">
        <f>D4/Dados!F$15</f>
        <v>0.08394160584</v>
      </c>
      <c r="E9" s="47">
        <f>E4/Dados!G$15</f>
        <v>0.096</v>
      </c>
      <c r="F9" s="47">
        <f>F4/Dados!H$15</f>
        <v>0.1034482759</v>
      </c>
      <c r="G9" s="47">
        <f>G4/Dados!I$15</f>
        <v>0.153256705</v>
      </c>
      <c r="H9" s="47">
        <f>H4/Dados!J$15</f>
        <v>0.1048034934</v>
      </c>
      <c r="I9" s="47">
        <f>I4/Dados!K$15</f>
        <v>0.1596958175</v>
      </c>
      <c r="J9" s="47">
        <f>J4/Dados!L$15</f>
        <v>0.126984127</v>
      </c>
      <c r="K9" s="47">
        <f>K4/Dados!M$15</f>
        <v>0.07782101167</v>
      </c>
      <c r="L9" s="47">
        <f>L4/Dados!N$15</f>
        <v>0.1305732484</v>
      </c>
      <c r="M9" s="47">
        <f>M4/Dados!O$15</f>
        <v>0.02877697842</v>
      </c>
      <c r="N9" s="47">
        <f>N4/Dados!P$15</f>
        <v>0.0813253012</v>
      </c>
      <c r="O9" s="47">
        <f>O4/Dados!Q$15</f>
        <v>0.09271523179</v>
      </c>
    </row>
    <row r="10">
      <c r="A10" s="45" t="s">
        <v>10</v>
      </c>
      <c r="B10" s="48">
        <f>B5/Dados!D$15</f>
        <v>0.002617801047</v>
      </c>
      <c r="C10" s="48">
        <f>C5/Dados!E$15</f>
        <v>0.01232032854</v>
      </c>
      <c r="D10" s="48">
        <f>D5/Dados!F$15</f>
        <v>0</v>
      </c>
      <c r="E10" s="48">
        <f>E5/Dados!G$15</f>
        <v>0.012</v>
      </c>
      <c r="F10" s="48">
        <f>F5/Dados!H$15</f>
        <v>0.004310344828</v>
      </c>
      <c r="G10" s="48">
        <f>G5/Dados!I$15</f>
        <v>0.01149425287</v>
      </c>
      <c r="H10" s="48">
        <f>H5/Dados!J$15</f>
        <v>0.03930131004</v>
      </c>
      <c r="I10" s="48">
        <f>I5/Dados!K$15</f>
        <v>0.05323193916</v>
      </c>
      <c r="J10" s="48">
        <f>J5/Dados!L$15</f>
        <v>0.06349206349</v>
      </c>
      <c r="K10" s="48">
        <f>K5/Dados!M$15</f>
        <v>0.003891050584</v>
      </c>
      <c r="L10" s="48">
        <f>L5/Dados!N$15</f>
        <v>0.006369426752</v>
      </c>
      <c r="M10" s="48">
        <f>M5/Dados!O$15</f>
        <v>0.007194244604</v>
      </c>
      <c r="N10" s="48">
        <f>N5/Dados!P$15</f>
        <v>0</v>
      </c>
      <c r="O10" s="48">
        <f>O5/Dados!Q$15</f>
        <v>0.003311258278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0.08895563771</v>
      </c>
    </row>
    <row r="14">
      <c r="A14" s="49" t="str">
        <f>Dados!C21</f>
        <v>Crianças e adolescentes</v>
      </c>
      <c r="B14" s="50">
        <f>Dados!S21</f>
        <v>0.01317005545</v>
      </c>
    </row>
    <row r="15">
      <c r="A15" s="49" t="str">
        <f>Dados!C22</f>
        <v>Capacete</v>
      </c>
      <c r="B15" s="50">
        <f>Dados!S22</f>
        <v>0.06608133087</v>
      </c>
    </row>
    <row r="16">
      <c r="A16" s="49" t="s">
        <v>12</v>
      </c>
      <c r="B16" s="50">
        <f>SUM(Dados!S32:S34)</f>
        <v>0.05083179298</v>
      </c>
    </row>
    <row r="17">
      <c r="A17" s="49" t="str">
        <f>Dados!C35</f>
        <v>Cargueira tradicional</v>
      </c>
      <c r="B17" s="50">
        <f>Dados!S35</f>
        <v>0.08387245841</v>
      </c>
    </row>
    <row r="18">
      <c r="A18" s="49" t="str">
        <f>Dados!C37</f>
        <v>Serviço</v>
      </c>
      <c r="B18" s="50">
        <f>Dados!S37</f>
        <v>0.01686691312</v>
      </c>
    </row>
    <row r="19">
      <c r="A19" s="49" t="str">
        <f>Dados!C39</f>
        <v>Contramão</v>
      </c>
      <c r="B19" s="50">
        <f>Dados!S39</f>
        <v>0.1030499076</v>
      </c>
    </row>
    <row r="20">
      <c r="A20" s="49" t="str">
        <f>Dados!C27</f>
        <v>Calçada</v>
      </c>
      <c r="B20" s="50">
        <f>Dados!S27</f>
        <v>0.07647874307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58</v>
      </c>
      <c r="B1" s="53"/>
      <c r="C1" s="54"/>
      <c r="D1" s="55"/>
      <c r="E1" s="56" t="str">
        <f>UPPER(CONFFLUXO!A3)</f>
        <v>SANTANA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938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98</v>
      </c>
      <c r="F3" s="61">
        <f>CONFFLUXO!Q4</f>
        <v>696</v>
      </c>
      <c r="G3" s="61">
        <f>CONFFLUXO!Q5</f>
        <v>144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CAMARAGIBE</v>
      </c>
      <c r="B5" s="66">
        <f>SUM(C5:C7)</f>
        <v>1375</v>
      </c>
      <c r="C5" s="67">
        <f>CONFFLUXO!Q14</f>
        <v>48</v>
      </c>
      <c r="D5" s="59"/>
      <c r="E5" s="57"/>
      <c r="F5" s="57"/>
      <c r="G5" s="57"/>
      <c r="H5" s="63"/>
      <c r="I5" s="68">
        <f>CONFFLUXO!Q6</f>
        <v>64</v>
      </c>
      <c r="J5" s="69">
        <f>SUM(I5:I7)</f>
        <v>1265</v>
      </c>
      <c r="K5" s="70" t="str">
        <f>UPPER(CONFFLUXO!A6)</f>
        <v>DERBY</v>
      </c>
    </row>
    <row r="6" ht="71.25" customHeight="1">
      <c r="A6" s="71"/>
      <c r="B6" s="71"/>
      <c r="C6" s="67">
        <f>CONFFLUXO!Q13</f>
        <v>1057</v>
      </c>
      <c r="D6" s="59"/>
      <c r="E6" s="57"/>
      <c r="F6" s="72">
        <f>SUM(E3:G3,I5:I7,E9:G9,C5:C7)</f>
        <v>4328</v>
      </c>
      <c r="G6" s="57"/>
      <c r="H6" s="63"/>
      <c r="I6" s="68">
        <f>CONFFLUXO!Q7</f>
        <v>972</v>
      </c>
      <c r="J6" s="71"/>
      <c r="K6" s="71"/>
    </row>
    <row r="7" ht="71.25" customHeight="1">
      <c r="A7" s="73"/>
      <c r="B7" s="73"/>
      <c r="C7" s="67">
        <f>CONFFLUXO!Q12</f>
        <v>270</v>
      </c>
      <c r="D7" s="59"/>
      <c r="E7" s="57"/>
      <c r="F7" s="57"/>
      <c r="G7" s="57"/>
      <c r="H7" s="63"/>
      <c r="I7" s="68">
        <f>CONFFLUXO!Q8</f>
        <v>229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341</v>
      </c>
      <c r="F9" s="75">
        <f>CONFFLUXO!Q10</f>
        <v>265</v>
      </c>
      <c r="G9" s="75">
        <f>CONFFLUXO!Q9</f>
        <v>144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750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SAN MARTIN</v>
      </c>
      <c r="F11" s="53"/>
      <c r="G11" s="54"/>
      <c r="H11" s="57"/>
      <c r="I11" s="57"/>
      <c r="J11" s="57"/>
      <c r="K11" s="77">
        <f>MAX(3:3,I:I,9:9,C:C)</f>
        <v>1057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