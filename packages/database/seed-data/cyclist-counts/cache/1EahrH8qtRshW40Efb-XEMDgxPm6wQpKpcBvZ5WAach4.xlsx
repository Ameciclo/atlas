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<sst xmlns="http://schemas.openxmlformats.org/spreadsheetml/2006/main" count="98" uniqueCount="55">
  <si>
    <t>Cruzamento</t>
  </si>
  <si>
    <t>Av. Mascarenhas de Moraes x R. Eng. Alves de Souza</t>
  </si>
  <si>
    <t>Data</t>
  </si>
  <si>
    <t>Coordenadas Geográficas</t>
  </si>
  <si>
    <t>-8.09845, -34.91019</t>
  </si>
  <si>
    <t>Relatório</t>
  </si>
  <si>
    <t>https://docs.google.com/document/d/1kVjca7Uq0T7XsLlxHwFs7NEuvXSyxKsg/edit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</si>
  <si>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</si>
  <si>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</si>
  <si>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</si>
  <si>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</si>
  <si>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</si>
  <si>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</si>
  <si>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</si>
  <si>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</si>
  <si>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</si>
  <si>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</si>
  <si>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</si>
  <si>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</si>
  <si>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</si>
  <si>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</si>
  <si>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</si>
  <si>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Lagoa do Araçá</t>
  </si>
  <si>
    <t>Jaboatão</t>
  </si>
  <si>
    <t>Boa Viagem</t>
  </si>
  <si>
    <t>Centro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</si>
  <si>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</si>
  <si>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</si>
  <si>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</si>
  <si>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</si>
  <si>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</si>
  <si>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</si>
  <si>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</si>
  <si>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</si>
  <si>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</si>
  <si>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</si>
  <si>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</si>
  <si>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</si>
  <si>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</si>
  <si>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</si>
  <si>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</si>
  <si>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</si>
  <si>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Grupo de pedal</t>
  </si>
  <si>
    <t>Faixa Azul</t>
  </si>
  <si>
    <t>Faixa Azul (contamão)</t>
  </si>
  <si>
    <t>Pedestre Empurrando</t>
  </si>
  <si>
    <t>guarda-chuva</t>
  </si>
  <si>
    <t>Capa de chuva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</si>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</sst>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29189874"/>
        <c:axId val="368431217"/>
      </c:barChart>
      <c:catAx>
        <c:axId val="102918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8431217"/>
      </c:catAx>
      <c:valAx>
        <c:axId val="3684312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918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794623198"/>
        <c:axId val="1657415004"/>
      </c:barChart>
      <c:catAx>
        <c:axId val="79462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7415004"/>
      </c:catAx>
      <c:valAx>
        <c:axId val="16574150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4623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414620177"/>
        <c:axId val="2122453027"/>
      </c:barChart>
      <c:catAx>
        <c:axId val="4146201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2453027"/>
      </c:catAx>
      <c:valAx>
        <c:axId val="21224530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46201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38100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</xdr:colOff>
      <xdr:row>19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180975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51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kVjca7Uq0T7XsLlxHwFs7NEuvXSyxKs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43551.0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1403</v>
      </c>
    </row>
    <row r="6">
      <c r="A6" s="4" t="s">
        <v>8</v>
      </c>
      <c r="B6" s="7">
        <f>MAX(Dados!C15:P15)</f>
        <v>180</v>
      </c>
    </row>
    <row r="7">
      <c r="A7" s="8" t="s">
        <v>9</v>
      </c>
      <c r="B7" s="9">
        <f>Dados!R20</f>
        <v>0.08125445474</v>
      </c>
    </row>
    <row r="8">
      <c r="A8" s="8" t="s">
        <v>10</v>
      </c>
      <c r="B8" s="9">
        <f>Dados!R21</f>
        <v>0.02494654312</v>
      </c>
    </row>
    <row r="9">
      <c r="A9" s="8" t="s">
        <v>11</v>
      </c>
      <c r="B9" s="9">
        <f>Dados!R22</f>
        <v>0.04704205274</v>
      </c>
    </row>
    <row r="10">
      <c r="A10" s="8" t="s">
        <v>12</v>
      </c>
      <c r="B10" s="9">
        <f>Dados!R23</f>
        <v>0.06058446187</v>
      </c>
    </row>
    <row r="11">
      <c r="A11" s="8" t="s">
        <v>13</v>
      </c>
      <c r="B11" s="9">
        <f>Dados!R24</f>
        <v>0.1753385602</v>
      </c>
    </row>
    <row r="12">
      <c r="A12" s="8" t="s">
        <v>14</v>
      </c>
      <c r="B12" s="9">
        <f>Dados!R25</f>
        <v>0.03563791875</v>
      </c>
    </row>
    <row r="13">
      <c r="A13" s="8" t="s">
        <v>15</v>
      </c>
      <c r="B13" s="9">
        <f>Dados!R26</f>
        <v>0.1411261582</v>
      </c>
    </row>
    <row r="14">
      <c r="A14" s="8" t="s">
        <v>16</v>
      </c>
      <c r="B14" s="9">
        <f>Dados!R27</f>
        <v>0.1760513186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5">
        <v>9.0</v>
      </c>
      <c r="D3" s="15">
        <v>16.0</v>
      </c>
      <c r="E3" s="15">
        <v>7.0</v>
      </c>
      <c r="F3" s="15">
        <v>9.0</v>
      </c>
      <c r="G3" s="15">
        <v>1.0</v>
      </c>
      <c r="H3" s="15">
        <v>5.0</v>
      </c>
      <c r="I3" s="15">
        <v>11.0</v>
      </c>
      <c r="J3" s="15">
        <v>11.0</v>
      </c>
      <c r="K3" s="15">
        <v>7.0</v>
      </c>
      <c r="L3" s="15">
        <v>7.0</v>
      </c>
      <c r="M3" s="15">
        <v>6.0</v>
      </c>
      <c r="N3" s="15">
        <v>18.0</v>
      </c>
      <c r="O3" s="15">
        <v>8.0</v>
      </c>
      <c r="P3" s="15">
        <v>5.0</v>
      </c>
      <c r="Q3" s="16">
        <f t="shared" ref="Q3:Q14" si="1">SUM(C3:P3)</f>
        <v>120</v>
      </c>
      <c r="R3" s="17">
        <f t="shared" ref="R3:R14" si="2">Q3/$Q$15</f>
        <v>0.08553100499</v>
      </c>
    </row>
    <row r="4" ht="14.25" customHeight="1">
      <c r="A4" s="15" t="s">
        <v>22</v>
      </c>
      <c r="B4" s="15" t="s">
        <v>24</v>
      </c>
      <c r="C4" s="15">
        <v>1.0</v>
      </c>
      <c r="D4" s="15">
        <v>15.0</v>
      </c>
      <c r="E4" s="15">
        <v>7.0</v>
      </c>
      <c r="F4" s="15">
        <v>6.0</v>
      </c>
      <c r="G4" s="15">
        <v>11.0</v>
      </c>
      <c r="H4" s="15">
        <v>14.0</v>
      </c>
      <c r="I4" s="15">
        <v>13.0</v>
      </c>
      <c r="J4" s="15">
        <v>18.0</v>
      </c>
      <c r="K4" s="15">
        <v>10.0</v>
      </c>
      <c r="L4" s="15">
        <v>3.0</v>
      </c>
      <c r="M4" s="15">
        <v>13.0</v>
      </c>
      <c r="N4" s="15">
        <v>13.0</v>
      </c>
      <c r="O4" s="15">
        <v>11.0</v>
      </c>
      <c r="P4" s="15">
        <v>11.0</v>
      </c>
      <c r="Q4" s="16">
        <f t="shared" si="1"/>
        <v>146</v>
      </c>
      <c r="R4" s="17">
        <f t="shared" si="2"/>
        <v>0.1040627227</v>
      </c>
    </row>
    <row r="5" ht="14.25" customHeight="1">
      <c r="A5" s="15" t="s">
        <v>22</v>
      </c>
      <c r="B5" s="15" t="s">
        <v>25</v>
      </c>
      <c r="C5" s="15">
        <v>2.0</v>
      </c>
      <c r="D5" s="15">
        <v>4.0</v>
      </c>
      <c r="E5" s="15">
        <v>6.0</v>
      </c>
      <c r="F5" s="15">
        <v>2.0</v>
      </c>
      <c r="G5" s="15">
        <v>1.0</v>
      </c>
      <c r="H5" s="15">
        <v>6.0</v>
      </c>
      <c r="I5" s="15">
        <v>8.0</v>
      </c>
      <c r="J5" s="15">
        <v>9.0</v>
      </c>
      <c r="K5" s="15">
        <v>1.0</v>
      </c>
      <c r="L5" s="15">
        <v>1.0</v>
      </c>
      <c r="M5" s="15">
        <v>2.0</v>
      </c>
      <c r="N5" s="15">
        <v>8.0</v>
      </c>
      <c r="O5" s="15">
        <v>1.0</v>
      </c>
      <c r="P5" s="15">
        <v>1.0</v>
      </c>
      <c r="Q5" s="16">
        <f t="shared" si="1"/>
        <v>52</v>
      </c>
      <c r="R5" s="17">
        <f t="shared" si="2"/>
        <v>0.0370634355</v>
      </c>
    </row>
    <row r="6" ht="14.25" customHeight="1">
      <c r="A6" s="15" t="s">
        <v>23</v>
      </c>
      <c r="B6" s="15" t="s">
        <v>22</v>
      </c>
      <c r="C6" s="15">
        <v>16.0</v>
      </c>
      <c r="D6" s="15">
        <v>18.0</v>
      </c>
      <c r="E6" s="15">
        <v>9.0</v>
      </c>
      <c r="F6" s="15">
        <v>1.0</v>
      </c>
      <c r="G6" s="15">
        <v>5.0</v>
      </c>
      <c r="H6" s="15">
        <v>7.0</v>
      </c>
      <c r="I6" s="15">
        <v>5.0</v>
      </c>
      <c r="J6" s="15">
        <v>6.0</v>
      </c>
      <c r="K6" s="15">
        <v>4.0</v>
      </c>
      <c r="L6" s="15">
        <v>4.0</v>
      </c>
      <c r="M6" s="15">
        <v>9.0</v>
      </c>
      <c r="N6" s="15">
        <v>11.0</v>
      </c>
      <c r="O6" s="15">
        <v>13.0</v>
      </c>
      <c r="P6" s="15">
        <v>11.0</v>
      </c>
      <c r="Q6" s="16">
        <f t="shared" si="1"/>
        <v>119</v>
      </c>
      <c r="R6" s="17">
        <f t="shared" si="2"/>
        <v>0.08481824661</v>
      </c>
    </row>
    <row r="7" ht="14.25" customHeight="1">
      <c r="A7" s="15" t="s">
        <v>23</v>
      </c>
      <c r="B7" s="15" t="s">
        <v>25</v>
      </c>
      <c r="C7" s="15">
        <v>39.0</v>
      </c>
      <c r="D7" s="15">
        <v>44.0</v>
      </c>
      <c r="E7" s="15">
        <v>28.0</v>
      </c>
      <c r="F7" s="15">
        <v>15.0</v>
      </c>
      <c r="G7" s="15">
        <v>18.0</v>
      </c>
      <c r="H7" s="15">
        <v>22.0</v>
      </c>
      <c r="I7" s="15">
        <v>18.0</v>
      </c>
      <c r="J7" s="15">
        <v>24.0</v>
      </c>
      <c r="K7" s="15">
        <v>24.0</v>
      </c>
      <c r="L7" s="15">
        <v>27.0</v>
      </c>
      <c r="M7" s="15">
        <v>29.0</v>
      </c>
      <c r="N7" s="15">
        <v>63.0</v>
      </c>
      <c r="O7" s="15">
        <v>43.0</v>
      </c>
      <c r="P7" s="15">
        <v>36.0</v>
      </c>
      <c r="Q7" s="16">
        <f t="shared" si="1"/>
        <v>430</v>
      </c>
      <c r="R7" s="17">
        <f t="shared" si="2"/>
        <v>0.3064861012</v>
      </c>
    </row>
    <row r="8" ht="14.25" customHeight="1">
      <c r="A8" s="15" t="s">
        <v>23</v>
      </c>
      <c r="B8" s="15" t="s">
        <v>24</v>
      </c>
      <c r="C8" s="15">
        <v>0.0</v>
      </c>
      <c r="D8" s="15">
        <v>1.0</v>
      </c>
      <c r="E8" s="15">
        <v>0.0</v>
      </c>
      <c r="F8" s="15">
        <v>0.0</v>
      </c>
      <c r="G8" s="15">
        <v>1.0</v>
      </c>
      <c r="H8" s="15">
        <v>3.0</v>
      </c>
      <c r="I8" s="15">
        <v>0.0</v>
      </c>
      <c r="J8" s="15">
        <v>1.0</v>
      </c>
      <c r="K8" s="15">
        <v>1.0</v>
      </c>
      <c r="L8" s="15">
        <v>0.0</v>
      </c>
      <c r="M8" s="15">
        <v>4.0</v>
      </c>
      <c r="N8" s="15">
        <v>0.0</v>
      </c>
      <c r="O8" s="15">
        <v>1.0</v>
      </c>
      <c r="P8" s="15">
        <v>0.0</v>
      </c>
      <c r="Q8" s="16">
        <f t="shared" si="1"/>
        <v>12</v>
      </c>
      <c r="R8" s="17">
        <f t="shared" si="2"/>
        <v>0.008553100499</v>
      </c>
    </row>
    <row r="9" ht="14.25" customHeight="1">
      <c r="A9" s="15" t="s">
        <v>24</v>
      </c>
      <c r="B9" s="15" t="s">
        <v>23</v>
      </c>
      <c r="C9" s="15">
        <v>1.0</v>
      </c>
      <c r="D9" s="15">
        <v>2.0</v>
      </c>
      <c r="E9" s="15">
        <v>0.0</v>
      </c>
      <c r="F9" s="15">
        <v>1.0</v>
      </c>
      <c r="G9" s="15">
        <v>2.0</v>
      </c>
      <c r="H9" s="15">
        <v>3.0</v>
      </c>
      <c r="I9" s="15">
        <v>0.0</v>
      </c>
      <c r="J9" s="15">
        <v>3.0</v>
      </c>
      <c r="K9" s="15">
        <v>4.0</v>
      </c>
      <c r="L9" s="15">
        <v>1.0</v>
      </c>
      <c r="M9" s="15">
        <v>1.0</v>
      </c>
      <c r="N9" s="15">
        <v>1.0</v>
      </c>
      <c r="O9" s="15">
        <v>0.0</v>
      </c>
      <c r="P9" s="15">
        <v>0.0</v>
      </c>
      <c r="Q9" s="16">
        <f t="shared" si="1"/>
        <v>19</v>
      </c>
      <c r="R9" s="17">
        <f t="shared" si="2"/>
        <v>0.01354240912</v>
      </c>
    </row>
    <row r="10" ht="14.25" customHeight="1">
      <c r="A10" s="15" t="s">
        <v>24</v>
      </c>
      <c r="B10" s="15" t="s">
        <v>22</v>
      </c>
      <c r="C10" s="15">
        <v>6.0</v>
      </c>
      <c r="D10" s="15">
        <v>19.0</v>
      </c>
      <c r="E10" s="15">
        <v>8.0</v>
      </c>
      <c r="F10" s="15">
        <v>5.0</v>
      </c>
      <c r="G10" s="15">
        <v>2.0</v>
      </c>
      <c r="H10" s="15">
        <v>12.0</v>
      </c>
      <c r="I10" s="15">
        <v>8.0</v>
      </c>
      <c r="J10" s="15">
        <v>15.0</v>
      </c>
      <c r="K10" s="15">
        <v>5.0</v>
      </c>
      <c r="L10" s="15">
        <v>5.0</v>
      </c>
      <c r="M10" s="15">
        <v>6.0</v>
      </c>
      <c r="N10" s="15">
        <v>12.0</v>
      </c>
      <c r="O10" s="15">
        <v>10.0</v>
      </c>
      <c r="P10" s="15">
        <v>4.0</v>
      </c>
      <c r="Q10" s="16">
        <f t="shared" si="1"/>
        <v>117</v>
      </c>
      <c r="R10" s="17">
        <f t="shared" si="2"/>
        <v>0.08339272986</v>
      </c>
    </row>
    <row r="11" ht="14.25" customHeight="1">
      <c r="A11" s="15" t="s">
        <v>24</v>
      </c>
      <c r="B11" s="15" t="s">
        <v>25</v>
      </c>
      <c r="C11" s="15">
        <v>3.0</v>
      </c>
      <c r="D11" s="15">
        <v>6.0</v>
      </c>
      <c r="E11" s="15">
        <v>3.0</v>
      </c>
      <c r="F11" s="15">
        <v>2.0</v>
      </c>
      <c r="G11" s="15">
        <v>0.0</v>
      </c>
      <c r="H11" s="15">
        <v>3.0</v>
      </c>
      <c r="I11" s="15">
        <v>0.0</v>
      </c>
      <c r="J11" s="15">
        <v>1.0</v>
      </c>
      <c r="K11" s="15">
        <v>6.0</v>
      </c>
      <c r="L11" s="15">
        <v>3.0</v>
      </c>
      <c r="M11" s="15">
        <v>5.0</v>
      </c>
      <c r="N11" s="15">
        <v>0.0</v>
      </c>
      <c r="O11" s="15">
        <v>1.0</v>
      </c>
      <c r="P11" s="15">
        <v>1.0</v>
      </c>
      <c r="Q11" s="16">
        <f t="shared" si="1"/>
        <v>34</v>
      </c>
      <c r="R11" s="17">
        <f t="shared" si="2"/>
        <v>0.02423378475</v>
      </c>
    </row>
    <row r="12" ht="14.25" customHeight="1">
      <c r="A12" s="15" t="s">
        <v>25</v>
      </c>
      <c r="B12" s="15" t="s">
        <v>22</v>
      </c>
      <c r="C12" s="15">
        <v>1.0</v>
      </c>
      <c r="D12" s="15">
        <v>1.0</v>
      </c>
      <c r="E12" s="15">
        <v>1.0</v>
      </c>
      <c r="F12" s="15">
        <v>2.0</v>
      </c>
      <c r="G12" s="15">
        <v>1.0</v>
      </c>
      <c r="H12" s="15">
        <v>4.0</v>
      </c>
      <c r="I12" s="15">
        <v>5.0</v>
      </c>
      <c r="J12" s="15">
        <v>1.0</v>
      </c>
      <c r="K12" s="15">
        <v>0.0</v>
      </c>
      <c r="L12" s="15">
        <v>1.0</v>
      </c>
      <c r="M12" s="15">
        <v>5.0</v>
      </c>
      <c r="N12" s="15">
        <v>9.0</v>
      </c>
      <c r="O12" s="15">
        <v>2.0</v>
      </c>
      <c r="P12" s="15">
        <v>1.0</v>
      </c>
      <c r="Q12" s="16">
        <f t="shared" si="1"/>
        <v>34</v>
      </c>
      <c r="R12" s="17">
        <f t="shared" si="2"/>
        <v>0.02423378475</v>
      </c>
    </row>
    <row r="13" ht="14.25" customHeight="1">
      <c r="A13" s="15" t="s">
        <v>25</v>
      </c>
      <c r="B13" s="15" t="s">
        <v>23</v>
      </c>
      <c r="C13" s="15">
        <v>33.0</v>
      </c>
      <c r="D13" s="15">
        <v>52.0</v>
      </c>
      <c r="E13" s="15">
        <v>24.0</v>
      </c>
      <c r="F13" s="15">
        <v>15.0</v>
      </c>
      <c r="G13" s="15">
        <v>14.0</v>
      </c>
      <c r="H13" s="15">
        <v>14.0</v>
      </c>
      <c r="I13" s="15">
        <v>15.0</v>
      </c>
      <c r="J13" s="15">
        <v>10.0</v>
      </c>
      <c r="K13" s="15">
        <v>10.0</v>
      </c>
      <c r="L13" s="15">
        <v>17.0</v>
      </c>
      <c r="M13" s="15">
        <v>26.0</v>
      </c>
      <c r="N13" s="15">
        <v>34.0</v>
      </c>
      <c r="O13" s="15">
        <v>16.0</v>
      </c>
      <c r="P13" s="15">
        <v>11.0</v>
      </c>
      <c r="Q13" s="16">
        <f t="shared" si="1"/>
        <v>291</v>
      </c>
      <c r="R13" s="17">
        <f t="shared" si="2"/>
        <v>0.2074126871</v>
      </c>
    </row>
    <row r="14" ht="14.25" customHeight="1">
      <c r="A14" s="15" t="s">
        <v>25</v>
      </c>
      <c r="B14" s="15" t="s">
        <v>24</v>
      </c>
      <c r="C14" s="15">
        <v>4.0</v>
      </c>
      <c r="D14" s="15">
        <v>2.0</v>
      </c>
      <c r="E14" s="15">
        <v>3.0</v>
      </c>
      <c r="F14" s="15">
        <v>6.0</v>
      </c>
      <c r="G14" s="15">
        <v>0.0</v>
      </c>
      <c r="H14" s="15">
        <v>1.0</v>
      </c>
      <c r="I14" s="15">
        <v>1.0</v>
      </c>
      <c r="J14" s="15">
        <v>0.0</v>
      </c>
      <c r="K14" s="15">
        <v>0.0</v>
      </c>
      <c r="L14" s="15">
        <v>1.0</v>
      </c>
      <c r="M14" s="15">
        <v>4.0</v>
      </c>
      <c r="N14" s="15">
        <v>6.0</v>
      </c>
      <c r="O14" s="15">
        <v>0.0</v>
      </c>
      <c r="P14" s="15">
        <v>1.0</v>
      </c>
      <c r="Q14" s="16">
        <f t="shared" si="1"/>
        <v>29</v>
      </c>
      <c r="R14" s="17">
        <f t="shared" si="2"/>
        <v>0.02066999287</v>
      </c>
    </row>
    <row r="15" ht="14.25" customHeight="1">
      <c r="A15" s="18"/>
      <c r="B15" s="18" t="s">
        <v>20</v>
      </c>
      <c r="C15" s="16">
        <f t="shared" ref="C15:Q15" si="3">SUM(C$3:C$14)</f>
        <v>115</v>
      </c>
      <c r="D15" s="16">
        <f t="shared" si="3"/>
        <v>180</v>
      </c>
      <c r="E15" s="16">
        <f t="shared" si="3"/>
        <v>96</v>
      </c>
      <c r="F15" s="16">
        <f t="shared" si="3"/>
        <v>64</v>
      </c>
      <c r="G15" s="16">
        <f t="shared" si="3"/>
        <v>56</v>
      </c>
      <c r="H15" s="16">
        <f t="shared" si="3"/>
        <v>94</v>
      </c>
      <c r="I15" s="16">
        <f t="shared" si="3"/>
        <v>84</v>
      </c>
      <c r="J15" s="16">
        <f t="shared" si="3"/>
        <v>99</v>
      </c>
      <c r="K15" s="16">
        <f t="shared" si="3"/>
        <v>72</v>
      </c>
      <c r="L15" s="16">
        <f t="shared" si="3"/>
        <v>70</v>
      </c>
      <c r="M15" s="16">
        <f t="shared" si="3"/>
        <v>110</v>
      </c>
      <c r="N15" s="16">
        <f t="shared" si="3"/>
        <v>175</v>
      </c>
      <c r="O15" s="16">
        <f t="shared" si="3"/>
        <v>106</v>
      </c>
      <c r="P15" s="16">
        <f t="shared" si="3"/>
        <v>82</v>
      </c>
      <c r="Q15" s="16">
        <f t="shared" si="3"/>
        <v>1403</v>
      </c>
      <c r="R15" s="17"/>
    </row>
    <row r="16" ht="13.5" customHeight="1">
      <c r="A16" s="19"/>
      <c r="B16" s="19" t="s">
        <v>26</v>
      </c>
      <c r="C16" s="20">
        <f t="shared" ref="C16:P16" si="4">C15/$Q$15</f>
        <v>0.08196721311</v>
      </c>
      <c r="D16" s="20">
        <f t="shared" si="4"/>
        <v>0.1282965075</v>
      </c>
      <c r="E16" s="20">
        <f t="shared" si="4"/>
        <v>0.06842480399</v>
      </c>
      <c r="F16" s="20">
        <f t="shared" si="4"/>
        <v>0.04561653599</v>
      </c>
      <c r="G16" s="20">
        <f t="shared" si="4"/>
        <v>0.039914469</v>
      </c>
      <c r="H16" s="20">
        <f t="shared" si="4"/>
        <v>0.06699928724</v>
      </c>
      <c r="I16" s="20">
        <f t="shared" si="4"/>
        <v>0.05987170349</v>
      </c>
      <c r="J16" s="20">
        <f t="shared" si="4"/>
        <v>0.07056307912</v>
      </c>
      <c r="K16" s="20">
        <f t="shared" si="4"/>
        <v>0.05131860299</v>
      </c>
      <c r="L16" s="20">
        <f t="shared" si="4"/>
        <v>0.04989308624</v>
      </c>
      <c r="M16" s="20">
        <f t="shared" si="4"/>
        <v>0.07840342124</v>
      </c>
      <c r="N16" s="20">
        <f t="shared" si="4"/>
        <v>0.1247327156</v>
      </c>
      <c r="O16" s="20">
        <f t="shared" si="4"/>
        <v>0.07555238774</v>
      </c>
      <c r="P16" s="20">
        <f t="shared" si="4"/>
        <v>0.05844618674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27</v>
      </c>
    </row>
    <row r="19" ht="12.0" customHeight="1">
      <c r="A19" s="24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5"/>
      <c r="B20" s="15" t="s">
        <v>9</v>
      </c>
      <c r="C20" s="15">
        <v>4.0</v>
      </c>
      <c r="D20" s="15">
        <v>19.0</v>
      </c>
      <c r="E20" s="15">
        <v>5.0</v>
      </c>
      <c r="F20" s="15">
        <v>4.0</v>
      </c>
      <c r="G20" s="15">
        <v>6.0</v>
      </c>
      <c r="H20" s="15">
        <v>8.0</v>
      </c>
      <c r="I20" s="15">
        <v>8.0</v>
      </c>
      <c r="J20" s="15">
        <v>17.0</v>
      </c>
      <c r="K20" s="15">
        <v>9.0</v>
      </c>
      <c r="L20" s="15">
        <v>4.0</v>
      </c>
      <c r="M20" s="15">
        <v>11.0</v>
      </c>
      <c r="N20" s="15">
        <v>14.0</v>
      </c>
      <c r="O20" s="15">
        <v>3.0</v>
      </c>
      <c r="P20" s="15">
        <v>2.0</v>
      </c>
      <c r="Q20" s="13">
        <f t="shared" ref="Q20:Q27" si="5">SUM(C20:P20)</f>
        <v>114</v>
      </c>
      <c r="R20" s="14">
        <f t="shared" ref="R20:R27" si="6">Q20/$Q$15</f>
        <v>0.08125445474</v>
      </c>
    </row>
    <row r="21" ht="14.25" customHeight="1">
      <c r="A21" s="25"/>
      <c r="B21" s="15" t="s">
        <v>10</v>
      </c>
      <c r="C21" s="15">
        <v>0.0</v>
      </c>
      <c r="D21" s="15">
        <v>6.0</v>
      </c>
      <c r="E21" s="15">
        <v>0.0</v>
      </c>
      <c r="F21" s="15">
        <v>0.0</v>
      </c>
      <c r="G21" s="15">
        <v>3.0</v>
      </c>
      <c r="H21" s="15">
        <v>5.0</v>
      </c>
      <c r="I21" s="15">
        <v>4.0</v>
      </c>
      <c r="J21" s="15">
        <v>2.0</v>
      </c>
      <c r="K21" s="15">
        <v>4.0</v>
      </c>
      <c r="L21" s="15">
        <v>2.0</v>
      </c>
      <c r="M21" s="15">
        <v>6.0</v>
      </c>
      <c r="N21" s="15">
        <v>1.0</v>
      </c>
      <c r="O21" s="15">
        <v>1.0</v>
      </c>
      <c r="P21" s="15">
        <v>1.0</v>
      </c>
      <c r="Q21" s="13">
        <f t="shared" si="5"/>
        <v>35</v>
      </c>
      <c r="R21" s="14">
        <f t="shared" si="6"/>
        <v>0.02494654312</v>
      </c>
    </row>
    <row r="22" ht="14.25" customHeight="1">
      <c r="A22" s="25"/>
      <c r="B22" s="15" t="s">
        <v>11</v>
      </c>
      <c r="C22" s="15">
        <v>9.0</v>
      </c>
      <c r="D22" s="15">
        <v>15.0</v>
      </c>
      <c r="E22" s="15">
        <v>4.0</v>
      </c>
      <c r="F22" s="15">
        <v>2.0</v>
      </c>
      <c r="G22" s="15">
        <v>1.0</v>
      </c>
      <c r="H22" s="15">
        <v>0.0</v>
      </c>
      <c r="I22" s="15">
        <v>5.0</v>
      </c>
      <c r="J22" s="15">
        <v>1.0</v>
      </c>
      <c r="K22" s="15">
        <v>8.0</v>
      </c>
      <c r="L22" s="15">
        <v>5.0</v>
      </c>
      <c r="M22" s="15">
        <v>1.0</v>
      </c>
      <c r="N22" s="15">
        <v>5.0</v>
      </c>
      <c r="O22" s="15">
        <v>9.0</v>
      </c>
      <c r="P22" s="15">
        <v>1.0</v>
      </c>
      <c r="Q22" s="13">
        <f t="shared" si="5"/>
        <v>66</v>
      </c>
      <c r="R22" s="14">
        <f t="shared" si="6"/>
        <v>0.04704205274</v>
      </c>
    </row>
    <row r="23" ht="14.25" customHeight="1">
      <c r="A23" s="25"/>
      <c r="B23" s="26" t="s">
        <v>12</v>
      </c>
      <c r="C23" s="27">
        <f t="shared" ref="C23:P23" si="7">SUM(C31:C33)</f>
        <v>4</v>
      </c>
      <c r="D23" s="27">
        <f t="shared" si="7"/>
        <v>15</v>
      </c>
      <c r="E23" s="27">
        <f t="shared" si="7"/>
        <v>1</v>
      </c>
      <c r="F23" s="27">
        <f t="shared" si="7"/>
        <v>2</v>
      </c>
      <c r="G23" s="27">
        <f t="shared" si="7"/>
        <v>3</v>
      </c>
      <c r="H23" s="27">
        <f t="shared" si="7"/>
        <v>7</v>
      </c>
      <c r="I23" s="27">
        <f t="shared" si="7"/>
        <v>6</v>
      </c>
      <c r="J23" s="27">
        <f t="shared" si="7"/>
        <v>11</v>
      </c>
      <c r="K23" s="27">
        <f t="shared" si="7"/>
        <v>3</v>
      </c>
      <c r="L23" s="27">
        <f t="shared" si="7"/>
        <v>5</v>
      </c>
      <c r="M23" s="27">
        <f t="shared" si="7"/>
        <v>8</v>
      </c>
      <c r="N23" s="27">
        <f t="shared" si="7"/>
        <v>8</v>
      </c>
      <c r="O23" s="27">
        <f t="shared" si="7"/>
        <v>8</v>
      </c>
      <c r="P23" s="27">
        <f t="shared" si="7"/>
        <v>4</v>
      </c>
      <c r="Q23" s="13">
        <f t="shared" si="5"/>
        <v>85</v>
      </c>
      <c r="R23" s="14">
        <f t="shared" si="6"/>
        <v>0.06058446187</v>
      </c>
    </row>
    <row r="24" ht="14.25" customHeight="1">
      <c r="A24" s="25"/>
      <c r="B24" s="28" t="s">
        <v>13</v>
      </c>
      <c r="C24" s="29">
        <f t="shared" ref="C24:P24" si="8">SUM(C34:C35)</f>
        <v>19</v>
      </c>
      <c r="D24" s="29">
        <f t="shared" si="8"/>
        <v>30</v>
      </c>
      <c r="E24" s="29">
        <f t="shared" si="8"/>
        <v>16</v>
      </c>
      <c r="F24" s="29">
        <f t="shared" si="8"/>
        <v>18</v>
      </c>
      <c r="G24" s="29">
        <f t="shared" si="8"/>
        <v>11</v>
      </c>
      <c r="H24" s="29">
        <f t="shared" si="8"/>
        <v>11</v>
      </c>
      <c r="I24" s="29">
        <f t="shared" si="8"/>
        <v>15</v>
      </c>
      <c r="J24" s="29">
        <f t="shared" si="8"/>
        <v>17</v>
      </c>
      <c r="K24" s="29">
        <f t="shared" si="8"/>
        <v>18</v>
      </c>
      <c r="L24" s="29">
        <f t="shared" si="8"/>
        <v>18</v>
      </c>
      <c r="M24" s="29">
        <f t="shared" si="8"/>
        <v>31</v>
      </c>
      <c r="N24" s="29">
        <f t="shared" si="8"/>
        <v>25</v>
      </c>
      <c r="O24" s="29">
        <f t="shared" si="8"/>
        <v>9</v>
      </c>
      <c r="P24" s="29">
        <f t="shared" si="8"/>
        <v>8</v>
      </c>
      <c r="Q24" s="13">
        <f t="shared" si="5"/>
        <v>246</v>
      </c>
      <c r="R24" s="14">
        <f t="shared" si="6"/>
        <v>0.1753385602</v>
      </c>
    </row>
    <row r="25" ht="14.25" customHeight="1">
      <c r="A25" s="25"/>
      <c r="B25" s="26" t="s">
        <v>14</v>
      </c>
      <c r="C25" s="27">
        <f t="shared" ref="C25:P25" si="9">SUM(C36:C37)</f>
        <v>0</v>
      </c>
      <c r="D25" s="27">
        <f t="shared" si="9"/>
        <v>7</v>
      </c>
      <c r="E25" s="27">
        <f t="shared" si="9"/>
        <v>3</v>
      </c>
      <c r="F25" s="27">
        <f t="shared" si="9"/>
        <v>11</v>
      </c>
      <c r="G25" s="27">
        <f t="shared" si="9"/>
        <v>5</v>
      </c>
      <c r="H25" s="27">
        <f t="shared" si="9"/>
        <v>3</v>
      </c>
      <c r="I25" s="27">
        <f t="shared" si="9"/>
        <v>6</v>
      </c>
      <c r="J25" s="27">
        <f t="shared" si="9"/>
        <v>3</v>
      </c>
      <c r="K25" s="27">
        <f t="shared" si="9"/>
        <v>4</v>
      </c>
      <c r="L25" s="27">
        <f t="shared" si="9"/>
        <v>2</v>
      </c>
      <c r="M25" s="27">
        <f t="shared" si="9"/>
        <v>0</v>
      </c>
      <c r="N25" s="27">
        <f t="shared" si="9"/>
        <v>3</v>
      </c>
      <c r="O25" s="27">
        <f t="shared" si="9"/>
        <v>2</v>
      </c>
      <c r="P25" s="27">
        <f t="shared" si="9"/>
        <v>1</v>
      </c>
      <c r="Q25" s="13">
        <f t="shared" si="5"/>
        <v>50</v>
      </c>
      <c r="R25" s="14">
        <f t="shared" si="6"/>
        <v>0.03563791875</v>
      </c>
    </row>
    <row r="26" ht="14.25" customHeight="1">
      <c r="A26" s="25"/>
      <c r="B26" s="28" t="s">
        <v>15</v>
      </c>
      <c r="C26" s="29">
        <f t="shared" ref="C26:P26" si="10">SUM(C38:C39)</f>
        <v>26</v>
      </c>
      <c r="D26" s="29">
        <f t="shared" si="10"/>
        <v>27</v>
      </c>
      <c r="E26" s="29">
        <f t="shared" si="10"/>
        <v>11</v>
      </c>
      <c r="F26" s="29">
        <f t="shared" si="10"/>
        <v>6</v>
      </c>
      <c r="G26" s="29">
        <f t="shared" si="10"/>
        <v>9</v>
      </c>
      <c r="H26" s="29">
        <f t="shared" si="10"/>
        <v>16</v>
      </c>
      <c r="I26" s="29">
        <f t="shared" si="10"/>
        <v>15</v>
      </c>
      <c r="J26" s="29">
        <f t="shared" si="10"/>
        <v>6</v>
      </c>
      <c r="K26" s="29">
        <f t="shared" si="10"/>
        <v>4</v>
      </c>
      <c r="L26" s="29">
        <f t="shared" si="10"/>
        <v>11</v>
      </c>
      <c r="M26" s="29">
        <f t="shared" si="10"/>
        <v>23</v>
      </c>
      <c r="N26" s="29">
        <f t="shared" si="10"/>
        <v>22</v>
      </c>
      <c r="O26" s="29">
        <f t="shared" si="10"/>
        <v>14</v>
      </c>
      <c r="P26" s="29">
        <f t="shared" si="10"/>
        <v>8</v>
      </c>
      <c r="Q26" s="13">
        <f t="shared" si="5"/>
        <v>198</v>
      </c>
      <c r="R26" s="14">
        <f t="shared" si="6"/>
        <v>0.1411261582</v>
      </c>
    </row>
    <row r="27" ht="14.25" customHeight="1">
      <c r="A27" s="25"/>
      <c r="B27" s="15" t="s">
        <v>16</v>
      </c>
      <c r="C27" s="15">
        <v>15.0</v>
      </c>
      <c r="D27" s="15">
        <v>30.0</v>
      </c>
      <c r="E27" s="15">
        <v>16.0</v>
      </c>
      <c r="F27" s="15">
        <v>11.0</v>
      </c>
      <c r="G27" s="15">
        <v>11.0</v>
      </c>
      <c r="H27" s="15">
        <v>15.0</v>
      </c>
      <c r="I27" s="15">
        <v>15.0</v>
      </c>
      <c r="J27" s="15">
        <v>22.0</v>
      </c>
      <c r="K27" s="15">
        <v>9.0</v>
      </c>
      <c r="L27" s="15">
        <v>15.0</v>
      </c>
      <c r="M27" s="15">
        <v>31.0</v>
      </c>
      <c r="N27" s="15">
        <v>25.0</v>
      </c>
      <c r="O27" s="15">
        <v>22.0</v>
      </c>
      <c r="P27" s="15">
        <v>10.0</v>
      </c>
      <c r="Q27" s="13">
        <f t="shared" si="5"/>
        <v>247</v>
      </c>
      <c r="R27" s="14">
        <f t="shared" si="6"/>
        <v>0.1760513186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10" t="s">
        <v>29</v>
      </c>
    </row>
    <row r="30" ht="14.25" customHeight="1">
      <c r="A30" s="24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5"/>
      <c r="B31" s="15" t="s">
        <v>30</v>
      </c>
      <c r="C31" s="15">
        <v>2.0</v>
      </c>
      <c r="D31" s="15">
        <v>13.0</v>
      </c>
      <c r="E31" s="15">
        <v>0.0</v>
      </c>
      <c r="F31" s="15">
        <v>1.0</v>
      </c>
      <c r="G31" s="15">
        <v>1.0</v>
      </c>
      <c r="H31" s="15">
        <v>5.0</v>
      </c>
      <c r="I31" s="15">
        <v>6.0</v>
      </c>
      <c r="J31" s="15">
        <v>8.0</v>
      </c>
      <c r="K31" s="15">
        <v>2.0</v>
      </c>
      <c r="L31" s="15">
        <v>5.0</v>
      </c>
      <c r="M31" s="15">
        <v>6.0</v>
      </c>
      <c r="N31" s="15">
        <v>6.0</v>
      </c>
      <c r="O31" s="15">
        <v>0.0</v>
      </c>
      <c r="P31" s="15">
        <v>2.0</v>
      </c>
      <c r="Q31" s="13">
        <f t="shared" ref="Q31:Q34" si="11">SUM(C31:P31)</f>
        <v>57</v>
      </c>
      <c r="R31" s="14">
        <f t="shared" ref="R31:R34" si="12">Q31/$Q$15</f>
        <v>0.04062722737</v>
      </c>
    </row>
    <row r="32" ht="14.25" customHeight="1">
      <c r="A32" s="25"/>
      <c r="B32" s="15" t="s">
        <v>31</v>
      </c>
      <c r="C32" s="15">
        <v>2.0</v>
      </c>
      <c r="D32" s="15">
        <v>2.0</v>
      </c>
      <c r="E32" s="15">
        <v>1.0</v>
      </c>
      <c r="F32" s="15">
        <v>1.0</v>
      </c>
      <c r="G32" s="15">
        <v>1.0</v>
      </c>
      <c r="H32" s="15">
        <v>2.0</v>
      </c>
      <c r="I32" s="15">
        <v>0.0</v>
      </c>
      <c r="J32" s="15">
        <v>3.0</v>
      </c>
      <c r="K32" s="15">
        <v>1.0</v>
      </c>
      <c r="L32" s="15">
        <v>0.0</v>
      </c>
      <c r="M32" s="15">
        <v>2.0</v>
      </c>
      <c r="N32" s="15">
        <v>1.0</v>
      </c>
      <c r="O32" s="15">
        <v>5.0</v>
      </c>
      <c r="P32" s="15">
        <v>1.0</v>
      </c>
      <c r="Q32" s="13">
        <f t="shared" si="11"/>
        <v>22</v>
      </c>
      <c r="R32" s="14">
        <f t="shared" si="12"/>
        <v>0.01568068425</v>
      </c>
    </row>
    <row r="33" ht="14.25" customHeight="1">
      <c r="A33" s="25"/>
      <c r="B33" s="15" t="s">
        <v>32</v>
      </c>
      <c r="C33" s="15">
        <v>0.0</v>
      </c>
      <c r="D33" s="15">
        <v>0.0</v>
      </c>
      <c r="E33" s="15">
        <v>0.0</v>
      </c>
      <c r="F33" s="15">
        <v>0.0</v>
      </c>
      <c r="G33" s="15">
        <v>1.0</v>
      </c>
      <c r="H33" s="15">
        <v>0.0</v>
      </c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1.0</v>
      </c>
      <c r="O33" s="15">
        <v>3.0</v>
      </c>
      <c r="P33" s="15">
        <v>1.0</v>
      </c>
      <c r="Q33" s="13">
        <f t="shared" si="11"/>
        <v>6</v>
      </c>
      <c r="R33" s="14">
        <f t="shared" si="12"/>
        <v>0.004276550249</v>
      </c>
    </row>
    <row r="34" ht="14.25" customHeight="1">
      <c r="A34" s="25"/>
      <c r="B34" s="15" t="s">
        <v>33</v>
      </c>
      <c r="C34" s="15">
        <v>7.0</v>
      </c>
      <c r="D34" s="15">
        <v>19.0</v>
      </c>
      <c r="E34" s="15">
        <v>10.0</v>
      </c>
      <c r="F34" s="15">
        <v>10.0</v>
      </c>
      <c r="G34" s="15">
        <v>10.0</v>
      </c>
      <c r="H34" s="15">
        <v>9.0</v>
      </c>
      <c r="I34" s="15">
        <v>15.0</v>
      </c>
      <c r="J34" s="15">
        <v>14.0</v>
      </c>
      <c r="K34" s="15">
        <v>11.0</v>
      </c>
      <c r="L34" s="15">
        <v>13.0</v>
      </c>
      <c r="M34" s="15">
        <v>16.0</v>
      </c>
      <c r="N34" s="15">
        <v>15.0</v>
      </c>
      <c r="O34" s="15">
        <v>7.0</v>
      </c>
      <c r="P34" s="15">
        <v>5.0</v>
      </c>
      <c r="Q34" s="13">
        <f t="shared" si="11"/>
        <v>161</v>
      </c>
      <c r="R34" s="14">
        <f t="shared" si="12"/>
        <v>0.1147540984</v>
      </c>
    </row>
    <row r="35" ht="14.25" customHeight="1">
      <c r="A35" s="25"/>
      <c r="B35" s="33" t="s">
        <v>34</v>
      </c>
      <c r="C35" s="15">
        <v>12.0</v>
      </c>
      <c r="D35" s="15">
        <v>11.0</v>
      </c>
      <c r="E35" s="15">
        <v>6.0</v>
      </c>
      <c r="F35" s="15">
        <v>8.0</v>
      </c>
      <c r="G35" s="15">
        <v>1.0</v>
      </c>
      <c r="H35" s="15">
        <v>2.0</v>
      </c>
      <c r="I35" s="15">
        <v>0.0</v>
      </c>
      <c r="J35" s="15">
        <v>3.0</v>
      </c>
      <c r="K35" s="15">
        <v>7.0</v>
      </c>
      <c r="L35" s="15">
        <v>5.0</v>
      </c>
      <c r="M35" s="15">
        <v>15.0</v>
      </c>
      <c r="N35" s="15">
        <v>10.0</v>
      </c>
      <c r="O35" s="15">
        <v>2.0</v>
      </c>
      <c r="P35" s="15">
        <v>3.0</v>
      </c>
      <c r="Q35" s="13"/>
      <c r="R35" s="14"/>
    </row>
    <row r="36" ht="14.25" customHeight="1">
      <c r="A36" s="25"/>
      <c r="B36" s="15" t="s">
        <v>14</v>
      </c>
      <c r="C36" s="15">
        <v>0.0</v>
      </c>
      <c r="D36" s="15">
        <v>7.0</v>
      </c>
      <c r="E36" s="15">
        <v>3.0</v>
      </c>
      <c r="F36" s="15">
        <v>11.0</v>
      </c>
      <c r="G36" s="15">
        <v>5.0</v>
      </c>
      <c r="H36" s="15">
        <v>3.0</v>
      </c>
      <c r="I36" s="15">
        <v>6.0</v>
      </c>
      <c r="J36" s="15">
        <v>2.0</v>
      </c>
      <c r="K36" s="15">
        <v>4.0</v>
      </c>
      <c r="L36" s="15">
        <v>2.0</v>
      </c>
      <c r="M36" s="15">
        <v>0.0</v>
      </c>
      <c r="N36" s="15">
        <v>2.0</v>
      </c>
      <c r="O36" s="15">
        <v>1.0</v>
      </c>
      <c r="P36" s="15"/>
      <c r="Q36" s="13">
        <f>SUM(C36:P36)</f>
        <v>46</v>
      </c>
      <c r="R36" s="14">
        <f>Q36/$Q$15</f>
        <v>0.03278688525</v>
      </c>
    </row>
    <row r="37" ht="14.25" customHeight="1">
      <c r="A37" s="25"/>
      <c r="B37" s="15" t="s">
        <v>35</v>
      </c>
      <c r="C37" s="15">
        <v>0.0</v>
      </c>
      <c r="D37" s="15">
        <v>0.0</v>
      </c>
      <c r="E37" s="15">
        <v>0.0</v>
      </c>
      <c r="F37" s="15">
        <v>0.0</v>
      </c>
      <c r="G37" s="15"/>
      <c r="H37" s="15"/>
      <c r="I37" s="15"/>
      <c r="J37" s="15">
        <v>1.0</v>
      </c>
      <c r="K37" s="15">
        <v>0.0</v>
      </c>
      <c r="L37" s="15">
        <v>0.0</v>
      </c>
      <c r="M37" s="15">
        <v>0.0</v>
      </c>
      <c r="N37" s="15">
        <v>1.0</v>
      </c>
      <c r="O37" s="15">
        <v>1.0</v>
      </c>
      <c r="P37" s="15">
        <v>1.0</v>
      </c>
      <c r="Q37" s="13"/>
      <c r="R37" s="14"/>
    </row>
    <row r="38" ht="14.25" customHeight="1">
      <c r="A38" s="25"/>
      <c r="B38" s="15" t="s">
        <v>36</v>
      </c>
      <c r="C38" s="15">
        <v>23.0</v>
      </c>
      <c r="D38" s="15">
        <v>27.0</v>
      </c>
      <c r="E38" s="15">
        <v>11.0</v>
      </c>
      <c r="F38" s="15">
        <v>6.0</v>
      </c>
      <c r="G38" s="15">
        <v>9.0</v>
      </c>
      <c r="H38" s="15">
        <v>16.0</v>
      </c>
      <c r="I38" s="15">
        <v>15.0</v>
      </c>
      <c r="J38" s="15">
        <v>5.0</v>
      </c>
      <c r="K38" s="15">
        <v>4.0</v>
      </c>
      <c r="L38" s="15">
        <v>11.0</v>
      </c>
      <c r="M38" s="15">
        <v>22.0</v>
      </c>
      <c r="N38" s="15">
        <v>22.0</v>
      </c>
      <c r="O38" s="15">
        <v>14.0</v>
      </c>
      <c r="P38" s="15">
        <v>5.0</v>
      </c>
      <c r="Q38" s="13">
        <f t="shared" ref="Q38:Q44" si="13">SUM(C38:P38)</f>
        <v>190</v>
      </c>
      <c r="R38" s="14">
        <f t="shared" ref="R38:R44" si="14">Q38/$Q$15</f>
        <v>0.1354240912</v>
      </c>
    </row>
    <row r="39" ht="14.25" customHeight="1">
      <c r="A39" s="25"/>
      <c r="B39" s="15" t="s">
        <v>37</v>
      </c>
      <c r="C39" s="15">
        <v>3.0</v>
      </c>
      <c r="D39" s="15"/>
      <c r="E39" s="15">
        <v>0.0</v>
      </c>
      <c r="F39" s="15">
        <v>0.0</v>
      </c>
      <c r="G39" s="15">
        <v>0.0</v>
      </c>
      <c r="H39" s="15">
        <v>0.0</v>
      </c>
      <c r="I39" s="15">
        <v>0.0</v>
      </c>
      <c r="J39" s="15">
        <v>1.0</v>
      </c>
      <c r="K39" s="15">
        <v>0.0</v>
      </c>
      <c r="L39" s="15">
        <v>0.0</v>
      </c>
      <c r="M39" s="15">
        <v>1.0</v>
      </c>
      <c r="N39" s="15">
        <v>0.0</v>
      </c>
      <c r="O39" s="15">
        <v>0.0</v>
      </c>
      <c r="P39" s="15">
        <v>3.0</v>
      </c>
      <c r="Q39" s="13">
        <f t="shared" si="13"/>
        <v>8</v>
      </c>
      <c r="R39" s="14">
        <f t="shared" si="14"/>
        <v>0.005702066999</v>
      </c>
    </row>
    <row r="40" ht="14.25" customHeight="1">
      <c r="A40" s="25"/>
      <c r="B40" s="15" t="s">
        <v>38</v>
      </c>
      <c r="C40" s="15"/>
      <c r="D40" s="15">
        <v>1.0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>
        <f t="shared" si="13"/>
        <v>1</v>
      </c>
      <c r="R40" s="14">
        <f t="shared" si="14"/>
        <v>0.0007127583749</v>
      </c>
    </row>
    <row r="41" ht="14.25" customHeight="1">
      <c r="A41" s="25"/>
      <c r="B41" s="15" t="s">
        <v>39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>
        <f t="shared" si="13"/>
        <v>0</v>
      </c>
      <c r="R41" s="14">
        <f t="shared" si="14"/>
        <v>0</v>
      </c>
    </row>
    <row r="42" ht="14.25" customHeight="1">
      <c r="A42" s="25"/>
      <c r="B42" s="15" t="s">
        <v>40</v>
      </c>
      <c r="C42" s="15"/>
      <c r="D42" s="15"/>
      <c r="E42" s="15"/>
      <c r="F42" s="15"/>
      <c r="G42" s="15"/>
      <c r="H42" s="15"/>
      <c r="I42" s="15"/>
      <c r="J42" s="15"/>
      <c r="K42" s="15">
        <v>1.0</v>
      </c>
      <c r="L42" s="15">
        <v>1.0</v>
      </c>
      <c r="M42" s="15"/>
      <c r="N42" s="15"/>
      <c r="O42" s="15"/>
      <c r="P42" s="15"/>
      <c r="Q42" s="15">
        <f t="shared" si="13"/>
        <v>2</v>
      </c>
      <c r="R42" s="14">
        <f t="shared" si="14"/>
        <v>0.00142551675</v>
      </c>
    </row>
    <row r="43" ht="14.25" customHeight="1">
      <c r="A43" s="25"/>
      <c r="B43" s="15" t="s">
        <v>41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>
        <f t="shared" si="13"/>
        <v>0</v>
      </c>
      <c r="R43" s="14">
        <f t="shared" si="14"/>
        <v>0</v>
      </c>
    </row>
    <row r="44" ht="14.25" customHeight="1">
      <c r="A44" s="25"/>
      <c r="B44" s="15" t="s">
        <v>42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>
        <f t="shared" si="13"/>
        <v>0</v>
      </c>
      <c r="R44" s="14">
        <f t="shared" si="14"/>
        <v>0</v>
      </c>
    </row>
    <row r="45" ht="14.25" customHeight="1">
      <c r="A45" s="25"/>
      <c r="B45" s="15" t="s">
        <v>43</v>
      </c>
      <c r="C45" s="15">
        <v>23.0</v>
      </c>
      <c r="D45" s="15">
        <v>55.0</v>
      </c>
      <c r="E45" s="15">
        <v>37.0</v>
      </c>
      <c r="F45" s="15">
        <v>20.0</v>
      </c>
      <c r="G45" s="15">
        <v>19.0</v>
      </c>
      <c r="H45" s="15">
        <v>26.0</v>
      </c>
      <c r="I45" s="15">
        <v>23.0</v>
      </c>
      <c r="J45" s="15">
        <v>21.0</v>
      </c>
      <c r="K45" s="15">
        <v>21.0</v>
      </c>
      <c r="L45" s="15">
        <v>37.0</v>
      </c>
      <c r="M45" s="15">
        <v>41.0</v>
      </c>
      <c r="N45" s="15">
        <v>67.0</v>
      </c>
      <c r="O45" s="15">
        <v>34.0</v>
      </c>
      <c r="P45" s="15">
        <v>4.0</v>
      </c>
      <c r="Q45" s="15"/>
      <c r="R45" s="14"/>
    </row>
    <row r="46" ht="14.25" customHeight="1">
      <c r="A46" s="25"/>
      <c r="B46" s="15" t="s">
        <v>44</v>
      </c>
      <c r="C46" s="15">
        <v>6.0</v>
      </c>
      <c r="D46" s="15">
        <v>16.0</v>
      </c>
      <c r="E46" s="15">
        <v>4.0</v>
      </c>
      <c r="F46" s="15">
        <v>13.0</v>
      </c>
      <c r="G46" s="15">
        <v>6.0</v>
      </c>
      <c r="H46" s="15">
        <v>4.0</v>
      </c>
      <c r="I46" s="15">
        <v>11.0</v>
      </c>
      <c r="J46" s="15">
        <v>14.0</v>
      </c>
      <c r="K46" s="15">
        <v>3.0</v>
      </c>
      <c r="L46" s="15">
        <v>8.0</v>
      </c>
      <c r="M46" s="15">
        <v>18.0</v>
      </c>
      <c r="N46" s="15">
        <v>15.0</v>
      </c>
      <c r="O46" s="15">
        <v>6.0</v>
      </c>
      <c r="P46" s="15">
        <v>3.0</v>
      </c>
      <c r="Q46" s="15"/>
      <c r="R46" s="14"/>
    </row>
    <row r="47" ht="14.25" customHeight="1">
      <c r="A47" s="25"/>
      <c r="B47" s="15" t="s">
        <v>45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4"/>
    </row>
    <row r="48" ht="14.25" customHeight="1">
      <c r="A48" s="2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4"/>
    </row>
    <row r="49" ht="14.25" customHeight="1">
      <c r="A49" s="25"/>
      <c r="B49" s="15" t="s">
        <v>46</v>
      </c>
      <c r="C49" s="15"/>
      <c r="D49" s="15"/>
      <c r="E49" s="15"/>
      <c r="F49" s="15"/>
      <c r="G49" s="15">
        <v>1.0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4"/>
    </row>
    <row r="50" ht="14.25" customHeight="1">
      <c r="A50" s="25"/>
      <c r="B50" s="15" t="s">
        <v>47</v>
      </c>
      <c r="C50" s="15"/>
      <c r="D50" s="15"/>
      <c r="E50" s="15"/>
      <c r="F50" s="15"/>
      <c r="G50" s="15">
        <v>4.0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4"/>
    </row>
    <row r="51" ht="14.25" customHeight="1">
      <c r="A51" s="2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4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8">TRANSPOSE(Dados!2:2)</f>
        <v>ORIGEM</v>
      </c>
    </row>
    <row r="2">
      <c r="F2" s="34">
        <v>3.0</v>
      </c>
      <c r="G2" t="s">
        <v>19</v>
      </c>
    </row>
    <row r="3">
      <c r="A3" t="str">
        <f>Dados!A3</f>
        <v>Lagoa do Araçá</v>
      </c>
      <c r="B3" t="str">
        <f>Dados!B3</f>
        <v>Jaboatão</v>
      </c>
      <c r="F3" s="34">
        <v>4.0</v>
      </c>
      <c r="G3">
        <v>6.0</v>
      </c>
      <c r="Q3">
        <f>HLOOKUP($A$1,Dados!$C$2:$R$14,F1,0)</f>
        <v>120</v>
      </c>
    </row>
    <row r="4">
      <c r="A4" t="str">
        <f>Dados!A4</f>
        <v>Lagoa do Araçá</v>
      </c>
      <c r="B4" t="str">
        <f>Dados!B4</f>
        <v>Boa Viagem</v>
      </c>
      <c r="F4" s="34">
        <v>5.0</v>
      </c>
      <c r="G4">
        <v>7.0</v>
      </c>
      <c r="Q4">
        <f>HLOOKUP($A$1,Dados!$C$2:$R$14,F2,0)</f>
        <v>146</v>
      </c>
    </row>
    <row r="5">
      <c r="A5" t="str">
        <f>Dados!A5</f>
        <v>Lagoa do Araçá</v>
      </c>
      <c r="B5" t="str">
        <f>Dados!B5</f>
        <v>Centro</v>
      </c>
      <c r="F5" s="34">
        <v>6.0</v>
      </c>
      <c r="G5">
        <v>8.0</v>
      </c>
      <c r="Q5">
        <f>HLOOKUP($A$1,Dados!$C$2:$R$14,F3,0)</f>
        <v>52</v>
      </c>
    </row>
    <row r="6">
      <c r="A6" t="str">
        <f>Dados!A6</f>
        <v>Jaboatão</v>
      </c>
      <c r="B6" t="str">
        <f>Dados!B6</f>
        <v>Lagoa do Araçá</v>
      </c>
      <c r="F6" s="34">
        <v>7.0</v>
      </c>
      <c r="G6">
        <v>9.0</v>
      </c>
      <c r="Q6">
        <f>HLOOKUP($A$1,Dados!$C$2:$R$14,F4,0)</f>
        <v>119</v>
      </c>
    </row>
    <row r="7">
      <c r="A7" t="str">
        <f>Dados!A7</f>
        <v>Jaboatão</v>
      </c>
      <c r="B7" t="str">
        <f>Dados!B7</f>
        <v>Centro</v>
      </c>
      <c r="F7" s="34">
        <v>8.0</v>
      </c>
      <c r="G7">
        <v>10.0</v>
      </c>
      <c r="Q7">
        <f>HLOOKUP($A$1,Dados!$C$2:$R$14,F5,0)</f>
        <v>430</v>
      </c>
    </row>
    <row r="8">
      <c r="A8" t="str">
        <f>Dados!A8</f>
        <v>Jaboatão</v>
      </c>
      <c r="B8" t="str">
        <f>Dados!B8</f>
        <v>Boa Viagem</v>
      </c>
      <c r="F8" s="34">
        <v>9.0</v>
      </c>
      <c r="G8">
        <v>11.0</v>
      </c>
      <c r="Q8">
        <f>HLOOKUP($A$1,Dados!$C$2:$R$14,F6,0)</f>
        <v>12</v>
      </c>
    </row>
    <row r="9">
      <c r="A9" t="str">
        <f>Dados!A9</f>
        <v>Boa Viagem</v>
      </c>
      <c r="B9" t="str">
        <f>Dados!B9</f>
        <v>Jaboatão</v>
      </c>
      <c r="F9" s="34">
        <v>10.0</v>
      </c>
      <c r="G9">
        <v>12.0</v>
      </c>
      <c r="Q9">
        <f>HLOOKUP($A$1,Dados!$C$2:$R$14,F7,0)</f>
        <v>19</v>
      </c>
    </row>
    <row r="10">
      <c r="A10" t="str">
        <f>Dados!A10</f>
        <v>Boa Viagem</v>
      </c>
      <c r="B10" t="str">
        <f>Dados!B10</f>
        <v>Lagoa do Araçá</v>
      </c>
      <c r="F10" s="34">
        <v>11.0</v>
      </c>
      <c r="G10">
        <v>13.0</v>
      </c>
      <c r="Q10">
        <f>HLOOKUP($A$1,Dados!$C$2:$R$14,F8,0)</f>
        <v>117</v>
      </c>
    </row>
    <row r="11">
      <c r="A11" t="str">
        <f>Dados!A11</f>
        <v>Boa Viagem</v>
      </c>
      <c r="B11" t="str">
        <f>Dados!B11</f>
        <v>Centro</v>
      </c>
      <c r="F11" s="34">
        <v>12.0</v>
      </c>
      <c r="G11">
        <v>14.0</v>
      </c>
      <c r="Q11">
        <f>HLOOKUP($A$1,Dados!$C$2:$R$14,F9,0)</f>
        <v>34</v>
      </c>
    </row>
    <row r="12">
      <c r="A12" t="str">
        <f>Dados!A12</f>
        <v>Centro</v>
      </c>
      <c r="B12" t="str">
        <f>Dados!B12</f>
        <v>Lagoa do Araçá</v>
      </c>
      <c r="F12" s="34">
        <v>13.0</v>
      </c>
      <c r="G12">
        <v>15.0</v>
      </c>
      <c r="Q12">
        <f>HLOOKUP($A$1,Dados!$C$2:$R$14,F10,0)</f>
        <v>34</v>
      </c>
    </row>
    <row r="13">
      <c r="A13" t="str">
        <f>Dados!A13</f>
        <v>Centro</v>
      </c>
      <c r="B13" t="str">
        <f>Dados!B13</f>
        <v>Jaboatão</v>
      </c>
      <c r="G13">
        <v>16.0</v>
      </c>
      <c r="Q13">
        <f>HLOOKUP($A$1,Dados!$C$2:$R$14,F11,0)</f>
        <v>291</v>
      </c>
    </row>
    <row r="14">
      <c r="A14" t="str">
        <f>Dados!A14</f>
        <v>Centro</v>
      </c>
      <c r="B14" t="str">
        <f>Dados!B14</f>
        <v>Boa Viagem</v>
      </c>
      <c r="G14">
        <v>17.0</v>
      </c>
      <c r="Q14">
        <f>HLOOKUP($A$1,Dados!$C$2:$R$14,F12,0)</f>
        <v>29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48</v>
      </c>
    </row>
    <row r="2">
      <c r="A2" s="37" t="s">
        <v>49</v>
      </c>
      <c r="B2" s="38">
        <f>Dados!C2</f>
        <v>6</v>
      </c>
      <c r="C2" s="38">
        <f>Dados!D2</f>
        <v>7</v>
      </c>
      <c r="D2" s="38">
        <f>Dados!E2</f>
        <v>8</v>
      </c>
      <c r="E2" s="38">
        <f>Dados!F2</f>
        <v>9</v>
      </c>
      <c r="F2" s="38">
        <f>Dados!G2</f>
        <v>10</v>
      </c>
      <c r="G2" s="38">
        <f>Dados!H2</f>
        <v>11</v>
      </c>
      <c r="H2" s="38">
        <f>Dados!I2</f>
        <v>12</v>
      </c>
      <c r="I2" s="38">
        <f>Dados!J2</f>
        <v>13</v>
      </c>
      <c r="J2" s="38">
        <f>Dados!K2</f>
        <v>14</v>
      </c>
      <c r="K2" s="38">
        <f>Dados!L2</f>
        <v>15</v>
      </c>
      <c r="L2" s="38">
        <f>Dados!M2</f>
        <v>16</v>
      </c>
      <c r="M2" s="38">
        <f>Dados!N2</f>
        <v>17</v>
      </c>
      <c r="N2" s="38">
        <f>Dados!O2</f>
        <v>18</v>
      </c>
      <c r="O2" s="38">
        <f>Dados!P2</f>
        <v>19</v>
      </c>
    </row>
    <row r="3">
      <c r="A3" s="39" t="s">
        <v>50</v>
      </c>
      <c r="B3" s="40">
        <f>Dados!C15-B4-B5</f>
        <v>111</v>
      </c>
      <c r="C3" s="40">
        <f>Dados!D15-C4-C5</f>
        <v>155</v>
      </c>
      <c r="D3" s="40">
        <f>Dados!E15-D4-D5</f>
        <v>91</v>
      </c>
      <c r="E3" s="40">
        <f>Dados!F15-E4-E5</f>
        <v>60</v>
      </c>
      <c r="F3" s="40">
        <f>Dados!G15-F4-F5</f>
        <v>47</v>
      </c>
      <c r="G3" s="40">
        <f>Dados!H15-G4-G5</f>
        <v>81</v>
      </c>
      <c r="H3" s="40">
        <f>Dados!I15-H4-H5</f>
        <v>72</v>
      </c>
      <c r="I3" s="40">
        <f>Dados!J15-I4-I5</f>
        <v>80</v>
      </c>
      <c r="J3" s="40">
        <f>Dados!K15-J4-J5</f>
        <v>59</v>
      </c>
      <c r="K3" s="40">
        <f>Dados!L15-K4-K5</f>
        <v>64</v>
      </c>
      <c r="L3" s="40">
        <f>Dados!M15-L4-L5</f>
        <v>93</v>
      </c>
      <c r="M3" s="40">
        <f>Dados!N15-M4-M5</f>
        <v>160</v>
      </c>
      <c r="N3" s="40">
        <f>Dados!O15-N4-N5</f>
        <v>102</v>
      </c>
      <c r="O3" s="40">
        <f>Dados!P15-O4-O5</f>
        <v>79</v>
      </c>
    </row>
    <row r="4">
      <c r="A4" s="37" t="s">
        <v>51</v>
      </c>
      <c r="B4" s="38">
        <f>Dados!C20</f>
        <v>4</v>
      </c>
      <c r="C4" s="38">
        <f>Dados!D20</f>
        <v>19</v>
      </c>
      <c r="D4" s="38">
        <f>Dados!E20</f>
        <v>5</v>
      </c>
      <c r="E4" s="38">
        <f>Dados!F20</f>
        <v>4</v>
      </c>
      <c r="F4" s="38">
        <f>Dados!G20</f>
        <v>6</v>
      </c>
      <c r="G4" s="38">
        <f>Dados!H20</f>
        <v>8</v>
      </c>
      <c r="H4" s="38">
        <f>Dados!I20</f>
        <v>8</v>
      </c>
      <c r="I4" s="38">
        <f>Dados!J20</f>
        <v>17</v>
      </c>
      <c r="J4" s="38">
        <f>Dados!K20</f>
        <v>9</v>
      </c>
      <c r="K4" s="38">
        <f>Dados!L20</f>
        <v>4</v>
      </c>
      <c r="L4" s="38">
        <f>Dados!M20</f>
        <v>11</v>
      </c>
      <c r="M4" s="38">
        <f>Dados!N20</f>
        <v>14</v>
      </c>
      <c r="N4" s="38">
        <f>Dados!O20</f>
        <v>3</v>
      </c>
      <c r="O4" s="38">
        <f>Dados!P20</f>
        <v>2</v>
      </c>
    </row>
    <row r="5">
      <c r="A5" s="39" t="s">
        <v>10</v>
      </c>
      <c r="B5" s="40">
        <f>Dados!C21</f>
        <v>0</v>
      </c>
      <c r="C5" s="40">
        <f>Dados!D21</f>
        <v>6</v>
      </c>
      <c r="D5" s="40">
        <f>Dados!E21</f>
        <v>0</v>
      </c>
      <c r="E5" s="40">
        <f>Dados!F21</f>
        <v>0</v>
      </c>
      <c r="F5" s="40">
        <f>Dados!G21</f>
        <v>3</v>
      </c>
      <c r="G5" s="40">
        <f>Dados!H21</f>
        <v>5</v>
      </c>
      <c r="H5" s="40">
        <f>Dados!I21</f>
        <v>4</v>
      </c>
      <c r="I5" s="40">
        <f>Dados!J21</f>
        <v>2</v>
      </c>
      <c r="J5" s="40">
        <f>Dados!K21</f>
        <v>4</v>
      </c>
      <c r="K5" s="40">
        <f>Dados!L21</f>
        <v>2</v>
      </c>
      <c r="L5" s="40">
        <f>Dados!M21</f>
        <v>6</v>
      </c>
      <c r="M5" s="40">
        <f>Dados!N21</f>
        <v>1</v>
      </c>
      <c r="N5" s="40">
        <f>Dados!O21</f>
        <v>1</v>
      </c>
      <c r="O5" s="40">
        <f>Dados!P21</f>
        <v>1</v>
      </c>
    </row>
    <row r="7">
      <c r="A7" s="41" t="s">
        <v>52</v>
      </c>
    </row>
    <row r="8">
      <c r="A8" s="42" t="s">
        <v>53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3" t="s">
        <v>51</v>
      </c>
      <c r="B9" s="44">
        <f>B4/Dados!C$15</f>
        <v>0.0347826087</v>
      </c>
      <c r="C9" s="44">
        <f>C4/Dados!D$15</f>
        <v>0.1055555556</v>
      </c>
      <c r="D9" s="44">
        <f>D4/Dados!E$15</f>
        <v>0.05208333333</v>
      </c>
      <c r="E9" s="44">
        <f>E4/Dados!F$15</f>
        <v>0.0625</v>
      </c>
      <c r="F9" s="44">
        <f>F4/Dados!G$15</f>
        <v>0.1071428571</v>
      </c>
      <c r="G9" s="44">
        <f>G4/Dados!H$15</f>
        <v>0.08510638298</v>
      </c>
      <c r="H9" s="44">
        <f>H4/Dados!I$15</f>
        <v>0.09523809524</v>
      </c>
      <c r="I9" s="44">
        <f>I4/Dados!J$15</f>
        <v>0.1717171717</v>
      </c>
      <c r="J9" s="44">
        <f>J4/Dados!K$15</f>
        <v>0.125</v>
      </c>
      <c r="K9" s="44">
        <f>K4/Dados!L$15</f>
        <v>0.05714285714</v>
      </c>
      <c r="L9" s="44">
        <f>L4/Dados!M$15</f>
        <v>0.1</v>
      </c>
      <c r="M9" s="44">
        <f>M4/Dados!N$15</f>
        <v>0.08</v>
      </c>
      <c r="N9" s="44">
        <f>N4/Dados!O$15</f>
        <v>0.02830188679</v>
      </c>
      <c r="O9" s="44">
        <f>O4/Dados!P$15</f>
        <v>0.0243902439</v>
      </c>
    </row>
    <row r="10">
      <c r="A10" s="42" t="s">
        <v>10</v>
      </c>
      <c r="B10" s="45">
        <f>B5/Dados!C$15</f>
        <v>0</v>
      </c>
      <c r="C10" s="45">
        <f>C5/Dados!D$15</f>
        <v>0.03333333333</v>
      </c>
      <c r="D10" s="45">
        <f>D5/Dados!E$15</f>
        <v>0</v>
      </c>
      <c r="E10" s="45">
        <f>E5/Dados!F$15</f>
        <v>0</v>
      </c>
      <c r="F10" s="45">
        <f>F5/Dados!G$15</f>
        <v>0.05357142857</v>
      </c>
      <c r="G10" s="45">
        <f>G5/Dados!H$15</f>
        <v>0.05319148936</v>
      </c>
      <c r="H10" s="45">
        <f>H5/Dados!I$15</f>
        <v>0.04761904762</v>
      </c>
      <c r="I10" s="45">
        <f>I5/Dados!J$15</f>
        <v>0.0202020202</v>
      </c>
      <c r="J10" s="45">
        <f>J5/Dados!K$15</f>
        <v>0.05555555556</v>
      </c>
      <c r="K10" s="45">
        <f>K5/Dados!L$15</f>
        <v>0.02857142857</v>
      </c>
      <c r="L10" s="45">
        <f>L5/Dados!M$15</f>
        <v>0.05454545455</v>
      </c>
      <c r="M10" s="45">
        <f>M5/Dados!N$15</f>
        <v>0.005714285714</v>
      </c>
      <c r="N10" s="45">
        <f>N5/Dados!O$15</f>
        <v>0.009433962264</v>
      </c>
      <c r="O10" s="45">
        <f>O5/Dados!P$15</f>
        <v>0.01219512195</v>
      </c>
    </row>
    <row r="12">
      <c r="A12" s="46" t="str">
        <f>Dados!B19</f>
        <v>Característica</v>
      </c>
      <c r="B12" s="47" t="str">
        <f>Dados!R19</f>
        <v>%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>
      <c r="A13" s="46" t="str">
        <f>Dados!B20</f>
        <v>Mulher</v>
      </c>
      <c r="B13" s="47">
        <f>Dados!R20</f>
        <v>0.08125445474</v>
      </c>
    </row>
    <row r="14">
      <c r="A14" s="46" t="str">
        <f>Dados!B21</f>
        <v>Crianças e adolescentes</v>
      </c>
      <c r="B14" s="47">
        <f>Dados!R21</f>
        <v>0.02494654312</v>
      </c>
    </row>
    <row r="15">
      <c r="A15" s="46" t="str">
        <f>Dados!B22</f>
        <v>Capacete</v>
      </c>
      <c r="B15" s="47">
        <f>Dados!R22</f>
        <v>0.04704205274</v>
      </c>
    </row>
    <row r="16">
      <c r="A16" s="46" t="s">
        <v>12</v>
      </c>
      <c r="B16" s="47">
        <f>SUM(Dados!R31:R33)</f>
        <v>0.06058446187</v>
      </c>
    </row>
    <row r="17">
      <c r="A17" s="46" t="str">
        <f>Dados!B34</f>
        <v>Cargueira</v>
      </c>
      <c r="B17" s="47">
        <f>Dados!R34</f>
        <v>0.1147540984</v>
      </c>
    </row>
    <row r="18">
      <c r="A18" s="46" t="str">
        <f>Dados!B36</f>
        <v>Serviço</v>
      </c>
      <c r="B18" s="47">
        <f>Dados!R36</f>
        <v>0.03278688525</v>
      </c>
    </row>
    <row r="19">
      <c r="A19" s="46" t="str">
        <f>Dados!B38</f>
        <v>Contramao</v>
      </c>
      <c r="B19" s="47">
        <f>Dados!R38</f>
        <v>0.1354240912</v>
      </c>
    </row>
    <row r="20">
      <c r="A20" s="46" t="str">
        <f>Dados!B27</f>
        <v>Calçada</v>
      </c>
      <c r="B20" s="47">
        <f>Dados!R27</f>
        <v>0.1760513186</v>
      </c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 t="s">
        <v>54</v>
      </c>
      <c r="B1" s="50"/>
      <c r="C1" s="51"/>
      <c r="D1" s="52"/>
      <c r="E1" s="53" t="str">
        <f>UPPER(CONFFLUXO!A3)</f>
        <v>LAGOA DO ARAÇÁ</v>
      </c>
      <c r="F1" s="50"/>
      <c r="G1" s="51"/>
      <c r="H1" s="54"/>
      <c r="I1" s="54"/>
      <c r="J1" s="54"/>
      <c r="K1" s="54"/>
    </row>
    <row r="2" ht="22.5" customHeight="1">
      <c r="A2" s="49" t="s">
        <v>20</v>
      </c>
      <c r="B2" s="50"/>
      <c r="C2" s="51"/>
      <c r="D2" s="52"/>
      <c r="E2" s="55">
        <f>SUM(E3:G3)</f>
        <v>318</v>
      </c>
      <c r="F2" s="50"/>
      <c r="G2" s="51"/>
      <c r="H2" s="54"/>
      <c r="I2" s="54"/>
      <c r="J2" s="54"/>
      <c r="K2" s="54"/>
    </row>
    <row r="3" ht="22.5" customHeight="1">
      <c r="A3" s="56"/>
      <c r="B3" s="56"/>
      <c r="C3" s="56"/>
      <c r="D3" s="57"/>
      <c r="E3" s="58">
        <f>CONFFLUXO!Q3</f>
        <v>120</v>
      </c>
      <c r="F3" s="58">
        <f>CONFFLUXO!Q4</f>
        <v>146</v>
      </c>
      <c r="G3" s="58">
        <f>CONFFLUXO!Q5</f>
        <v>52</v>
      </c>
      <c r="H3" s="54"/>
      <c r="I3" s="54"/>
      <c r="J3" s="54"/>
      <c r="K3" s="54"/>
    </row>
    <row r="4" ht="25.5" customHeight="1">
      <c r="A4" s="59"/>
      <c r="B4" s="59"/>
      <c r="C4" s="56"/>
      <c r="D4" s="56"/>
      <c r="E4" s="54"/>
      <c r="F4" s="54"/>
      <c r="G4" s="54"/>
      <c r="H4" s="60"/>
      <c r="I4" s="60"/>
      <c r="J4" s="61"/>
      <c r="K4" s="61"/>
    </row>
    <row r="5" ht="71.25" customHeight="1">
      <c r="A5" s="62" t="str">
        <f>UPPER(CONFFLUXO!A12)</f>
        <v>CENTRO</v>
      </c>
      <c r="B5" s="63">
        <f>SUM(C5:C7)</f>
        <v>354</v>
      </c>
      <c r="C5" s="64">
        <f>CONFFLUXO!Q14</f>
        <v>29</v>
      </c>
      <c r="D5" s="56"/>
      <c r="E5" s="54"/>
      <c r="F5" s="54"/>
      <c r="G5" s="54"/>
      <c r="H5" s="60"/>
      <c r="I5" s="65">
        <f>CONFFLUXO!Q6</f>
        <v>119</v>
      </c>
      <c r="J5" s="66">
        <f>SUM(I5:I7)</f>
        <v>561</v>
      </c>
      <c r="K5" s="67" t="str">
        <f>UPPER(CONFFLUXO!A6)</f>
        <v>JABOATÃO</v>
      </c>
    </row>
    <row r="6" ht="71.25" customHeight="1">
      <c r="A6" s="68"/>
      <c r="B6" s="68"/>
      <c r="C6" s="64">
        <f>CONFFLUXO!Q13</f>
        <v>291</v>
      </c>
      <c r="D6" s="56"/>
      <c r="E6" s="54"/>
      <c r="F6" s="69">
        <f>SUM(E3:G3,I5:I7,E9:G9,C5:C7)</f>
        <v>1403</v>
      </c>
      <c r="G6" s="54"/>
      <c r="H6" s="60"/>
      <c r="I6" s="65">
        <f>CONFFLUXO!Q7</f>
        <v>430</v>
      </c>
      <c r="J6" s="68"/>
      <c r="K6" s="68"/>
    </row>
    <row r="7" ht="71.25" customHeight="1">
      <c r="A7" s="70"/>
      <c r="B7" s="70"/>
      <c r="C7" s="64">
        <f>CONFFLUXO!Q12</f>
        <v>34</v>
      </c>
      <c r="D7" s="56"/>
      <c r="E7" s="54"/>
      <c r="F7" s="54"/>
      <c r="G7" s="54"/>
      <c r="H7" s="60"/>
      <c r="I7" s="65">
        <f>CONFFLUXO!Q8</f>
        <v>12</v>
      </c>
      <c r="J7" s="70"/>
      <c r="K7" s="70"/>
    </row>
    <row r="8" ht="27.0" customHeight="1">
      <c r="A8" s="56"/>
      <c r="B8" s="56"/>
      <c r="C8" s="56"/>
      <c r="D8" s="56"/>
      <c r="E8" s="54"/>
      <c r="F8" s="54"/>
      <c r="G8" s="54"/>
      <c r="H8" s="54"/>
      <c r="I8" s="54"/>
      <c r="J8" s="54"/>
      <c r="K8" s="54"/>
    </row>
    <row r="9" ht="22.5" customHeight="1">
      <c r="A9" s="56"/>
      <c r="B9" s="56"/>
      <c r="C9" s="71"/>
      <c r="D9" s="71"/>
      <c r="E9" s="72">
        <f>CONFFLUXO!Q11</f>
        <v>34</v>
      </c>
      <c r="F9" s="72">
        <f>CONFFLUXO!Q10</f>
        <v>117</v>
      </c>
      <c r="G9" s="72">
        <f>CONFFLUXO!Q9</f>
        <v>19</v>
      </c>
      <c r="H9" s="54"/>
      <c r="I9" s="54"/>
      <c r="J9" s="54"/>
      <c r="K9" s="54"/>
    </row>
    <row r="10" ht="22.5" customHeight="1">
      <c r="A10" s="56"/>
      <c r="B10" s="56"/>
      <c r="C10" s="56"/>
      <c r="D10" s="56"/>
      <c r="E10" s="73">
        <f>SUM(E9:G9)</f>
        <v>170</v>
      </c>
      <c r="F10" s="50"/>
      <c r="G10" s="51"/>
      <c r="H10" s="54"/>
      <c r="I10" s="54"/>
      <c r="J10" s="54"/>
      <c r="K10" s="54"/>
    </row>
    <row r="11" ht="22.5" customHeight="1">
      <c r="A11" s="56"/>
      <c r="B11" s="56"/>
      <c r="C11" s="56"/>
      <c r="D11" s="56"/>
      <c r="E11" s="53" t="str">
        <f>UPPER(CONFFLUXO!A9)</f>
        <v>BOA VIAGEM</v>
      </c>
      <c r="F11" s="50"/>
      <c r="G11" s="51"/>
      <c r="H11" s="54"/>
      <c r="I11" s="54"/>
      <c r="J11" s="54"/>
      <c r="K11" s="74">
        <f>MAX(3:3,I:I,9:9,C:C)</f>
        <v>430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