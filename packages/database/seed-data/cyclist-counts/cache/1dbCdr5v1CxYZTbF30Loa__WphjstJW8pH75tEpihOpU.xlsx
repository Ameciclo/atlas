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7">
      <text>
        <t xml:space="preserve">patinete
</t>
      </text>
    </comment>
    <comment authorId="0" ref="H47">
      <text>
        <t xml:space="preserve">patins</t>
      </text>
    </comment>
  </commentList>
</comments>
</file>

<file path=xl/sharedStrings.xml><?xml version="1.0" encoding="utf-8"?>
<sst xmlns="http://schemas.openxmlformats.org/spreadsheetml/2006/main" count="92" uniqueCount="63">
  <si>
    <t>Cruzamento</t>
  </si>
  <si>
    <t>Av. Gov. Agamenon Magalhães x Praça do Derby - Pista Leste</t>
  </si>
  <si>
    <t>Data</t>
  </si>
  <si>
    <t>Coordenadas Geográficas</t>
  </si>
  <si>
    <t>-8.05661, -34.89772</t>
  </si>
  <si>
    <t>Relatório</t>
  </si>
  <si>
    <t>https://docs.google.com/document/d/1BZJUktFWwg41ilPXeb55opLide8Hn3ww/edit?usp=drive_link&amp;ouid=106119240800332821299&amp;rtpof=true&amp;sd=true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</si>
  <si>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</si>
  <si>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</si>
  <si>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</si>
  <si>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</si>
  <si>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</si>
  <si>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</si>
  <si>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</si>
  <si>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</si>
  <si>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</si>
  <si>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</si>
  <si>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</si>
  <si>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</si>
  <si>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</si>
  <si>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</si>
  <si>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</si>
  <si>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</si>
  <si>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BOA VISTA</t>
  </si>
  <si>
    <t>BOA VIAGEM</t>
  </si>
  <si>
    <t>DERBY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</si>
  <si>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</si>
  <si>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</si>
  <si>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</si>
  <si>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</si>
  <si>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</si>
  <si>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</si>
  <si>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</si>
  <si>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</si>
  <si>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</si>
  <si>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</si>
  <si>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</si>
  <si>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</si>
  <si>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</si>
  <si>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</si>
  <si>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</si>
  <si>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</si>
  <si>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</si>
  <si>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</si>
  <si>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</si>
  <si>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</si>
  <si>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</si>
  <si>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</si>
  <si>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Ciclomotor</t>
  </si>
  <si>
    <t>Ciclovia</t>
  </si>
  <si>
    <t>Contraciclo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</si>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</sst>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  <scheme val="minor"/>
    </font>
    <font>
      <b/>
      <sz val="12.0"/>
      <color rgb="FFFFFFFF"/>
      <name val="Ubuntu"/>
    </font>
    <font>
      <sz val="12.0"/>
      <color theme="1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color theme="1"/>
      <name val="Arial"/>
    </font>
    <font>
      <color theme="1"/>
      <name val="Arial"/>
      <scheme val="minor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right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2" fontId="1" numFmtId="0" xfId="0" applyAlignment="1" applyFont="1">
      <alignment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shrinkToFit="0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center" shrinkToFit="0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2" fontId="1" numFmtId="10" xfId="0" applyAlignment="1" applyFont="1" applyNumberFormat="1">
      <alignment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2" fontId="4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shrinkToFit="0" wrapText="1"/>
    </xf>
    <xf borderId="0" fillId="4" fontId="8" numFmtId="0" xfId="0" applyAlignment="1" applyFont="1">
      <alignment shrinkToFit="0" wrapText="1"/>
    </xf>
    <xf borderId="0" fillId="4" fontId="7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shrinkToFit="0" wrapText="1"/>
    </xf>
    <xf borderId="0" fillId="8" fontId="8" numFmtId="0" xfId="0" applyAlignment="1" applyFill="1" applyFont="1">
      <alignment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shrinkToFit="0" wrapText="1"/>
    </xf>
    <xf borderId="0" fillId="0" fontId="8" numFmtId="165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1" fillId="0" fontId="9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wrapText="1"/>
    </xf>
    <xf borderId="3" fillId="0" fontId="10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10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342717274"/>
        <c:axId val="179834029"/>
      </c:barChart>
      <c:catAx>
        <c:axId val="1342717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9834029"/>
      </c:catAx>
      <c:valAx>
        <c:axId val="179834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4271727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58471752"/>
        <c:axId val="110904207"/>
      </c:barChart>
      <c:catAx>
        <c:axId val="1558471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10904207"/>
      </c:catAx>
      <c:valAx>
        <c:axId val="110904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4717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908486297"/>
        <c:axId val="2050862568"/>
      </c:barChart>
      <c:catAx>
        <c:axId val="19084862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050862568"/>
      </c:catAx>
      <c:valAx>
        <c:axId val="205086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48629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ZJUktFWwg41ilPXeb55opLide8Hn3ww/edit?usp=drive_link&amp;ouid=106119240800332821299&amp;rtpof=true&amp;sd=tru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4.13"/>
    <col customWidth="1" min="3" max="6" width="12.6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3">
        <v>45428.0</v>
      </c>
    </row>
    <row r="3" ht="12.75" customHeight="1">
      <c r="A3" s="1" t="s">
        <v>3</v>
      </c>
      <c r="B3" s="4" t="s">
        <v>4</v>
      </c>
    </row>
    <row r="4" ht="12.75" customHeight="1">
      <c r="A4" s="1" t="s">
        <v>5</v>
      </c>
      <c r="B4" s="5" t="s">
        <v>6</v>
      </c>
    </row>
    <row r="5" ht="12.75" customHeight="1">
      <c r="A5" s="1" t="s">
        <v>7</v>
      </c>
      <c r="B5" s="6">
        <f>Dados!R15</f>
        <v>2013</v>
      </c>
    </row>
    <row r="6" ht="12.75" customHeight="1">
      <c r="A6" s="1" t="s">
        <v>8</v>
      </c>
      <c r="B6" s="6">
        <f>MAX(Dados!D15:Q15)</f>
        <v>311</v>
      </c>
    </row>
    <row r="7" ht="12.75" customHeight="1">
      <c r="A7" s="7" t="s">
        <v>9</v>
      </c>
      <c r="B7" s="8">
        <f>Dados!S20</f>
        <v>0.07749627422</v>
      </c>
    </row>
    <row r="8" ht="12.75" customHeight="1">
      <c r="A8" s="7" t="s">
        <v>10</v>
      </c>
      <c r="B8" s="8">
        <f>Dados!S21</f>
        <v>0.00695479384</v>
      </c>
    </row>
    <row r="9" ht="12.75" customHeight="1">
      <c r="A9" s="7" t="s">
        <v>11</v>
      </c>
      <c r="B9" s="8">
        <f>Dados!S22</f>
        <v>0.09438648783</v>
      </c>
    </row>
    <row r="10" ht="12.75" customHeight="1">
      <c r="A10" s="7" t="s">
        <v>12</v>
      </c>
      <c r="B10" s="8">
        <f>Dados!S23</f>
        <v>0.0173869846</v>
      </c>
    </row>
    <row r="11" ht="12.75" customHeight="1">
      <c r="A11" s="7" t="s">
        <v>13</v>
      </c>
      <c r="B11" s="8">
        <f>Dados!S24</f>
        <v>0.0566318927</v>
      </c>
    </row>
    <row r="12" ht="12.75" customHeight="1">
      <c r="A12" s="7" t="s">
        <v>14</v>
      </c>
      <c r="B12" s="8">
        <f>Dados!S25</f>
        <v>0.0303030303</v>
      </c>
    </row>
    <row r="13" ht="12.75" customHeight="1">
      <c r="A13" s="7" t="s">
        <v>15</v>
      </c>
      <c r="B13" s="8">
        <f>Dados!S26</f>
        <v>0.05563835072</v>
      </c>
    </row>
    <row r="14" ht="12.75" customHeight="1">
      <c r="A14" s="7" t="s">
        <v>16</v>
      </c>
      <c r="B14" s="8">
        <f>Dados!S27</f>
        <v>0.08445106806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1" t="s">
        <v>20</v>
      </c>
      <c r="S2" s="12" t="s">
        <v>21</v>
      </c>
    </row>
    <row r="3" ht="14.25" customHeight="1">
      <c r="A3" s="13"/>
      <c r="B3" s="14" t="s">
        <v>22</v>
      </c>
      <c r="C3" s="15" t="str">
        <f>B12</f>
        <v>DERBY</v>
      </c>
      <c r="D3" s="16">
        <v>3.0</v>
      </c>
      <c r="E3" s="16">
        <v>3.0</v>
      </c>
      <c r="F3" s="16">
        <v>1.0</v>
      </c>
      <c r="G3" s="16">
        <v>1.0</v>
      </c>
      <c r="H3" s="16">
        <v>1.0</v>
      </c>
      <c r="I3" s="16">
        <v>5.0</v>
      </c>
      <c r="J3" s="16">
        <v>5.0</v>
      </c>
      <c r="K3" s="16">
        <v>1.0</v>
      </c>
      <c r="L3" s="16">
        <v>5.0</v>
      </c>
      <c r="M3" s="16">
        <v>0.0</v>
      </c>
      <c r="N3" s="16">
        <v>4.0</v>
      </c>
      <c r="O3" s="17">
        <v>13.0</v>
      </c>
      <c r="P3" s="17">
        <v>7.0</v>
      </c>
      <c r="Q3" s="16">
        <v>1.0</v>
      </c>
      <c r="R3" s="11">
        <f t="shared" ref="R3:R14" si="1">SUM(D3:Q3)</f>
        <v>50</v>
      </c>
      <c r="S3" s="12">
        <f t="shared" ref="S3:S14" si="2">R3/$R$15</f>
        <v>0.02483854943</v>
      </c>
    </row>
    <row r="4" ht="14.25" customHeight="1">
      <c r="A4" s="13"/>
      <c r="B4" s="15" t="str">
        <f>B3</f>
        <v>OLINDA</v>
      </c>
      <c r="C4" s="15" t="str">
        <f>B9</f>
        <v>BOA VIAGEM</v>
      </c>
      <c r="D4" s="16">
        <v>4.0</v>
      </c>
      <c r="E4" s="16">
        <v>2.0</v>
      </c>
      <c r="F4" s="16">
        <v>2.0</v>
      </c>
      <c r="G4" s="16">
        <v>2.0</v>
      </c>
      <c r="H4" s="16">
        <v>1.0</v>
      </c>
      <c r="I4" s="16">
        <v>4.0</v>
      </c>
      <c r="J4" s="16">
        <v>1.0</v>
      </c>
      <c r="K4" s="16">
        <v>3.0</v>
      </c>
      <c r="L4" s="16">
        <v>1.0</v>
      </c>
      <c r="M4" s="16">
        <v>0.0</v>
      </c>
      <c r="N4" s="16">
        <v>1.0</v>
      </c>
      <c r="O4" s="17">
        <v>2.0</v>
      </c>
      <c r="P4" s="17">
        <v>0.0</v>
      </c>
      <c r="Q4" s="16">
        <v>2.0</v>
      </c>
      <c r="R4" s="11">
        <f t="shared" si="1"/>
        <v>25</v>
      </c>
      <c r="S4" s="12">
        <f t="shared" si="2"/>
        <v>0.01241927471</v>
      </c>
    </row>
    <row r="5" ht="14.25" customHeight="1">
      <c r="A5" s="13"/>
      <c r="B5" s="15" t="str">
        <f>B3</f>
        <v>OLINDA</v>
      </c>
      <c r="C5" s="15" t="str">
        <f>B6</f>
        <v>BOA VISTA</v>
      </c>
      <c r="D5" s="16">
        <v>0.0</v>
      </c>
      <c r="E5" s="16">
        <v>0.0</v>
      </c>
      <c r="F5" s="16">
        <v>1.0</v>
      </c>
      <c r="G5" s="16">
        <v>0.0</v>
      </c>
      <c r="H5" s="16">
        <v>0.0</v>
      </c>
      <c r="I5" s="16">
        <v>3.0</v>
      </c>
      <c r="J5" s="16">
        <v>3.0</v>
      </c>
      <c r="K5" s="16">
        <v>0.0</v>
      </c>
      <c r="L5" s="16">
        <v>7.0</v>
      </c>
      <c r="M5" s="16">
        <v>1.0</v>
      </c>
      <c r="N5" s="16">
        <v>5.0</v>
      </c>
      <c r="O5" s="17">
        <v>2.0</v>
      </c>
      <c r="P5" s="17">
        <v>2.0</v>
      </c>
      <c r="Q5" s="16">
        <v>1.0</v>
      </c>
      <c r="R5" s="11">
        <f t="shared" si="1"/>
        <v>25</v>
      </c>
      <c r="S5" s="12">
        <f t="shared" si="2"/>
        <v>0.01241927471</v>
      </c>
    </row>
    <row r="6" ht="14.25" customHeight="1">
      <c r="A6" s="13"/>
      <c r="B6" s="14" t="s">
        <v>23</v>
      </c>
      <c r="C6" s="15" t="str">
        <f>B3</f>
        <v>OLINDA</v>
      </c>
      <c r="D6" s="16">
        <v>0.0</v>
      </c>
      <c r="E6" s="16">
        <v>1.0</v>
      </c>
      <c r="F6" s="16">
        <v>1.0</v>
      </c>
      <c r="G6" s="16">
        <v>0.0</v>
      </c>
      <c r="H6" s="16">
        <v>2.0</v>
      </c>
      <c r="I6" s="16">
        <v>3.0</v>
      </c>
      <c r="J6" s="16">
        <v>1.0</v>
      </c>
      <c r="K6" s="16">
        <v>5.0</v>
      </c>
      <c r="L6" s="16">
        <v>3.0</v>
      </c>
      <c r="M6" s="16">
        <v>1.0</v>
      </c>
      <c r="N6" s="16">
        <v>5.0</v>
      </c>
      <c r="O6" s="17">
        <v>2.0</v>
      </c>
      <c r="P6" s="17">
        <v>2.0</v>
      </c>
      <c r="Q6" s="16">
        <v>0.0</v>
      </c>
      <c r="R6" s="11">
        <f t="shared" si="1"/>
        <v>26</v>
      </c>
      <c r="S6" s="12">
        <f t="shared" si="2"/>
        <v>0.0129160457</v>
      </c>
    </row>
    <row r="7" ht="14.25" customHeight="1">
      <c r="A7" s="13"/>
      <c r="B7" s="15" t="str">
        <f>B6</f>
        <v>BOA VISTA</v>
      </c>
      <c r="C7" s="15" t="str">
        <f>B12</f>
        <v>DERBY</v>
      </c>
      <c r="D7" s="16">
        <v>7.0</v>
      </c>
      <c r="E7" s="16">
        <v>9.0</v>
      </c>
      <c r="F7" s="16">
        <v>7.0</v>
      </c>
      <c r="G7" s="16">
        <v>26.0</v>
      </c>
      <c r="H7" s="16">
        <v>4.0</v>
      </c>
      <c r="I7" s="16">
        <v>31.0</v>
      </c>
      <c r="J7" s="16">
        <v>0.0</v>
      </c>
      <c r="K7" s="16">
        <v>30.0</v>
      </c>
      <c r="L7" s="16">
        <v>33.0</v>
      </c>
      <c r="M7" s="16">
        <v>38.0</v>
      </c>
      <c r="N7" s="16">
        <v>74.0</v>
      </c>
      <c r="O7" s="17">
        <v>124.0</v>
      </c>
      <c r="P7" s="17">
        <v>61.0</v>
      </c>
      <c r="Q7" s="16">
        <v>30.0</v>
      </c>
      <c r="R7" s="11">
        <f t="shared" si="1"/>
        <v>474</v>
      </c>
      <c r="S7" s="12">
        <f t="shared" si="2"/>
        <v>0.2354694486</v>
      </c>
    </row>
    <row r="8" ht="14.25" customHeight="1">
      <c r="A8" s="13"/>
      <c r="B8" s="15" t="str">
        <f>B6</f>
        <v>BOA VISTA</v>
      </c>
      <c r="C8" s="15" t="str">
        <f>B9</f>
        <v>BOA VIAGEM</v>
      </c>
      <c r="D8" s="16">
        <v>0.0</v>
      </c>
      <c r="E8" s="16">
        <v>1.0</v>
      </c>
      <c r="F8" s="16">
        <v>1.0</v>
      </c>
      <c r="G8" s="16">
        <v>0.0</v>
      </c>
      <c r="H8" s="16">
        <v>1.0</v>
      </c>
      <c r="I8" s="16">
        <v>1.0</v>
      </c>
      <c r="J8" s="16">
        <v>0.0</v>
      </c>
      <c r="K8" s="16">
        <v>1.0</v>
      </c>
      <c r="L8" s="16">
        <v>0.0</v>
      </c>
      <c r="M8" s="16">
        <v>4.0</v>
      </c>
      <c r="N8" s="16">
        <v>4.0</v>
      </c>
      <c r="O8" s="17">
        <v>0.0</v>
      </c>
      <c r="P8" s="17">
        <v>0.0</v>
      </c>
      <c r="Q8" s="16">
        <v>3.0</v>
      </c>
      <c r="R8" s="11">
        <f t="shared" si="1"/>
        <v>16</v>
      </c>
      <c r="S8" s="12">
        <f t="shared" si="2"/>
        <v>0.007948335817</v>
      </c>
    </row>
    <row r="9" ht="14.25" customHeight="1">
      <c r="A9" s="13"/>
      <c r="B9" s="14" t="s">
        <v>24</v>
      </c>
      <c r="C9" s="15" t="str">
        <f>B6</f>
        <v>BOA VISTA</v>
      </c>
      <c r="D9" s="16">
        <v>1.0</v>
      </c>
      <c r="E9" s="16">
        <v>5.0</v>
      </c>
      <c r="F9" s="16">
        <v>2.0</v>
      </c>
      <c r="G9" s="16">
        <v>3.0</v>
      </c>
      <c r="H9" s="16">
        <v>2.0</v>
      </c>
      <c r="I9" s="16">
        <v>2.0</v>
      </c>
      <c r="J9" s="16">
        <v>1.0</v>
      </c>
      <c r="K9" s="16">
        <v>3.0</v>
      </c>
      <c r="L9" s="16">
        <v>2.0</v>
      </c>
      <c r="M9" s="16">
        <v>2.0</v>
      </c>
      <c r="N9" s="16">
        <v>3.0</v>
      </c>
      <c r="O9" s="17">
        <v>3.0</v>
      </c>
      <c r="P9" s="17">
        <v>5.0</v>
      </c>
      <c r="Q9" s="16">
        <v>3.0</v>
      </c>
      <c r="R9" s="11">
        <f t="shared" si="1"/>
        <v>37</v>
      </c>
      <c r="S9" s="12">
        <f t="shared" si="2"/>
        <v>0.01838052658</v>
      </c>
    </row>
    <row r="10" ht="14.25" customHeight="1">
      <c r="A10" s="13"/>
      <c r="B10" s="15" t="str">
        <f>B9</f>
        <v>BOA VIAGEM</v>
      </c>
      <c r="C10" s="15" t="str">
        <f>B3</f>
        <v>OLINDA</v>
      </c>
      <c r="D10" s="16">
        <v>30.0</v>
      </c>
      <c r="E10" s="16">
        <v>41.0</v>
      </c>
      <c r="F10" s="16">
        <v>21.0</v>
      </c>
      <c r="G10" s="16">
        <v>18.0</v>
      </c>
      <c r="H10" s="16">
        <v>15.0</v>
      </c>
      <c r="I10" s="16">
        <v>13.0</v>
      </c>
      <c r="J10" s="16">
        <v>29.0</v>
      </c>
      <c r="K10" s="16">
        <v>19.0</v>
      </c>
      <c r="L10" s="16">
        <v>19.0</v>
      </c>
      <c r="M10" s="16">
        <v>39.0</v>
      </c>
      <c r="N10" s="16">
        <v>59.0</v>
      </c>
      <c r="O10" s="17">
        <v>90.0</v>
      </c>
      <c r="P10" s="17">
        <v>62.0</v>
      </c>
      <c r="Q10" s="16">
        <v>28.0</v>
      </c>
      <c r="R10" s="11">
        <f t="shared" si="1"/>
        <v>483</v>
      </c>
      <c r="S10" s="12">
        <f t="shared" si="2"/>
        <v>0.2399403875</v>
      </c>
    </row>
    <row r="11" ht="14.25" customHeight="1">
      <c r="A11" s="13"/>
      <c r="B11" s="15" t="str">
        <f>B9</f>
        <v>BOA VIAGEM</v>
      </c>
      <c r="C11" s="15" t="str">
        <f>B12</f>
        <v>DERBY</v>
      </c>
      <c r="D11" s="16">
        <v>3.0</v>
      </c>
      <c r="E11" s="16">
        <v>1.0</v>
      </c>
      <c r="F11" s="16">
        <v>2.0</v>
      </c>
      <c r="G11" s="16">
        <v>2.0</v>
      </c>
      <c r="H11" s="16">
        <v>6.0</v>
      </c>
      <c r="I11" s="16">
        <v>6.0</v>
      </c>
      <c r="J11" s="16">
        <v>4.0</v>
      </c>
      <c r="K11" s="16">
        <v>3.0</v>
      </c>
      <c r="L11" s="16">
        <v>1.0</v>
      </c>
      <c r="M11" s="16">
        <v>2.0</v>
      </c>
      <c r="N11" s="16">
        <v>16.0</v>
      </c>
      <c r="O11" s="17">
        <v>10.0</v>
      </c>
      <c r="P11" s="17">
        <v>12.0</v>
      </c>
      <c r="Q11" s="16">
        <v>6.0</v>
      </c>
      <c r="R11" s="11">
        <f t="shared" si="1"/>
        <v>74</v>
      </c>
      <c r="S11" s="12">
        <f t="shared" si="2"/>
        <v>0.03676105315</v>
      </c>
    </row>
    <row r="12" ht="14.25" customHeight="1">
      <c r="A12" s="13"/>
      <c r="B12" s="14" t="s">
        <v>25</v>
      </c>
      <c r="C12" s="15" t="str">
        <f>B9</f>
        <v>BOA VIAGEM</v>
      </c>
      <c r="D12" s="16">
        <v>0.0</v>
      </c>
      <c r="E12" s="16">
        <v>0.0</v>
      </c>
      <c r="F12" s="16">
        <v>1.0</v>
      </c>
      <c r="G12" s="16">
        <v>0.0</v>
      </c>
      <c r="H12" s="16">
        <v>1.0</v>
      </c>
      <c r="I12" s="16">
        <v>0.0</v>
      </c>
      <c r="J12" s="16">
        <v>1.0</v>
      </c>
      <c r="K12" s="16">
        <v>0.0</v>
      </c>
      <c r="L12" s="16">
        <v>0.0</v>
      </c>
      <c r="M12" s="16">
        <v>0.0</v>
      </c>
      <c r="N12" s="16">
        <v>1.0</v>
      </c>
      <c r="O12" s="17">
        <v>0.0</v>
      </c>
      <c r="P12" s="17">
        <v>0.0</v>
      </c>
      <c r="Q12" s="16">
        <v>2.0</v>
      </c>
      <c r="R12" s="11">
        <f t="shared" si="1"/>
        <v>6</v>
      </c>
      <c r="S12" s="12">
        <f t="shared" si="2"/>
        <v>0.002980625931</v>
      </c>
    </row>
    <row r="13" ht="14.25" customHeight="1">
      <c r="A13" s="13"/>
      <c r="B13" s="15" t="str">
        <f>B12</f>
        <v>DERBY</v>
      </c>
      <c r="C13" s="15" t="str">
        <f>B6</f>
        <v>BOA VISTA</v>
      </c>
      <c r="D13" s="16">
        <v>59.0</v>
      </c>
      <c r="E13" s="16">
        <v>87.0</v>
      </c>
      <c r="F13" s="16">
        <v>58.0</v>
      </c>
      <c r="G13" s="16">
        <v>42.0</v>
      </c>
      <c r="H13" s="16">
        <v>38.0</v>
      </c>
      <c r="I13" s="16">
        <v>29.0</v>
      </c>
      <c r="J13" s="16">
        <v>40.0</v>
      </c>
      <c r="K13" s="16">
        <v>24.0</v>
      </c>
      <c r="L13" s="16">
        <v>23.0</v>
      </c>
      <c r="M13" s="16">
        <v>42.0</v>
      </c>
      <c r="N13" s="16">
        <v>21.0</v>
      </c>
      <c r="O13" s="17">
        <v>23.0</v>
      </c>
      <c r="P13" s="17">
        <v>31.0</v>
      </c>
      <c r="Q13" s="16">
        <v>34.0</v>
      </c>
      <c r="R13" s="11">
        <f t="shared" si="1"/>
        <v>551</v>
      </c>
      <c r="S13" s="12">
        <f t="shared" si="2"/>
        <v>0.2737208147</v>
      </c>
    </row>
    <row r="14" ht="14.25" customHeight="1">
      <c r="A14" s="13"/>
      <c r="B14" s="15" t="str">
        <f>B12</f>
        <v>DERBY</v>
      </c>
      <c r="C14" s="15" t="str">
        <f>B3</f>
        <v>OLINDA</v>
      </c>
      <c r="D14" s="16">
        <v>19.0</v>
      </c>
      <c r="E14" s="16">
        <v>24.0</v>
      </c>
      <c r="F14" s="16">
        <v>23.0</v>
      </c>
      <c r="G14" s="16">
        <v>10.0</v>
      </c>
      <c r="H14" s="16">
        <v>14.0</v>
      </c>
      <c r="I14" s="16">
        <v>15.0</v>
      </c>
      <c r="J14" s="16">
        <v>11.0</v>
      </c>
      <c r="K14" s="16">
        <v>18.0</v>
      </c>
      <c r="L14" s="16">
        <v>7.0</v>
      </c>
      <c r="M14" s="16">
        <v>16.0</v>
      </c>
      <c r="N14" s="16">
        <v>16.0</v>
      </c>
      <c r="O14" s="17">
        <v>42.0</v>
      </c>
      <c r="P14" s="17">
        <v>28.0</v>
      </c>
      <c r="Q14" s="16">
        <v>3.0</v>
      </c>
      <c r="R14" s="11">
        <f t="shared" si="1"/>
        <v>246</v>
      </c>
      <c r="S14" s="12">
        <f t="shared" si="2"/>
        <v>0.1222056632</v>
      </c>
    </row>
    <row r="15" ht="14.25" customHeight="1">
      <c r="A15" s="9"/>
      <c r="B15" s="10"/>
      <c r="C15" s="10" t="s">
        <v>20</v>
      </c>
      <c r="D15" s="11">
        <f t="shared" ref="D15:Q15" si="3">SUM(D3:D14)</f>
        <v>126</v>
      </c>
      <c r="E15" s="11">
        <f t="shared" si="3"/>
        <v>174</v>
      </c>
      <c r="F15" s="11">
        <f t="shared" si="3"/>
        <v>120</v>
      </c>
      <c r="G15" s="11">
        <f t="shared" si="3"/>
        <v>104</v>
      </c>
      <c r="H15" s="11">
        <f t="shared" si="3"/>
        <v>85</v>
      </c>
      <c r="I15" s="11">
        <f t="shared" si="3"/>
        <v>112</v>
      </c>
      <c r="J15" s="11">
        <f t="shared" si="3"/>
        <v>96</v>
      </c>
      <c r="K15" s="11">
        <f t="shared" si="3"/>
        <v>107</v>
      </c>
      <c r="L15" s="11">
        <f t="shared" si="3"/>
        <v>101</v>
      </c>
      <c r="M15" s="11">
        <f t="shared" si="3"/>
        <v>145</v>
      </c>
      <c r="N15" s="11">
        <f t="shared" si="3"/>
        <v>209</v>
      </c>
      <c r="O15" s="11">
        <f t="shared" si="3"/>
        <v>311</v>
      </c>
      <c r="P15" s="11">
        <f t="shared" si="3"/>
        <v>210</v>
      </c>
      <c r="Q15" s="11">
        <f t="shared" si="3"/>
        <v>113</v>
      </c>
      <c r="R15" s="11">
        <f>SUM(R$3:R$14)</f>
        <v>2013</v>
      </c>
      <c r="S15" s="12"/>
    </row>
    <row r="16" ht="13.5" customHeight="1">
      <c r="A16" s="18"/>
      <c r="B16" s="18"/>
      <c r="C16" s="18" t="s">
        <v>26</v>
      </c>
      <c r="D16" s="19">
        <f t="shared" ref="D16:Q16" si="4">D15/$R$15</f>
        <v>0.06259314456</v>
      </c>
      <c r="E16" s="19">
        <f t="shared" si="4"/>
        <v>0.08643815201</v>
      </c>
      <c r="F16" s="19">
        <f t="shared" si="4"/>
        <v>0.05961251863</v>
      </c>
      <c r="G16" s="19">
        <f t="shared" si="4"/>
        <v>0.05166418281</v>
      </c>
      <c r="H16" s="19">
        <f t="shared" si="4"/>
        <v>0.04222553403</v>
      </c>
      <c r="I16" s="19">
        <f t="shared" si="4"/>
        <v>0.05563835072</v>
      </c>
      <c r="J16" s="19">
        <f t="shared" si="4"/>
        <v>0.0476900149</v>
      </c>
      <c r="K16" s="19">
        <f t="shared" si="4"/>
        <v>0.05315449578</v>
      </c>
      <c r="L16" s="19">
        <f t="shared" si="4"/>
        <v>0.05017386985</v>
      </c>
      <c r="M16" s="19">
        <f t="shared" si="4"/>
        <v>0.07203179334</v>
      </c>
      <c r="N16" s="19">
        <f t="shared" si="4"/>
        <v>0.1038251366</v>
      </c>
      <c r="O16" s="19">
        <f t="shared" si="4"/>
        <v>0.1544957774</v>
      </c>
      <c r="P16" s="19">
        <f t="shared" si="4"/>
        <v>0.1043219076</v>
      </c>
      <c r="Q16" s="19">
        <f t="shared" si="4"/>
        <v>0.05613512171</v>
      </c>
      <c r="R16" s="19">
        <f>SUM(D16:Q16)</f>
        <v>1</v>
      </c>
      <c r="S16" s="12"/>
    </row>
    <row r="17" ht="13.5" customHeight="1">
      <c r="A17" s="20"/>
      <c r="B17" s="20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2.0" customHeight="1">
      <c r="A18" s="9"/>
      <c r="B18" s="9"/>
      <c r="C18" s="9" t="s">
        <v>27</v>
      </c>
    </row>
    <row r="19" ht="12.0" customHeight="1">
      <c r="A19" s="23"/>
      <c r="B19" s="23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1" t="s">
        <v>20</v>
      </c>
      <c r="S19" s="12" t="s">
        <v>21</v>
      </c>
    </row>
    <row r="20" ht="14.25" customHeight="1">
      <c r="A20" s="24"/>
      <c r="B20" s="24"/>
      <c r="C20" s="25" t="s">
        <v>9</v>
      </c>
      <c r="D20" s="17">
        <v>5.0</v>
      </c>
      <c r="E20" s="17">
        <v>12.0</v>
      </c>
      <c r="F20" s="17">
        <v>17.0</v>
      </c>
      <c r="G20" s="17">
        <v>3.0</v>
      </c>
      <c r="H20" s="17">
        <v>8.0</v>
      </c>
      <c r="I20" s="17">
        <v>7.0</v>
      </c>
      <c r="J20" s="17">
        <v>12.0</v>
      </c>
      <c r="K20" s="17">
        <v>5.0</v>
      </c>
      <c r="L20" s="17">
        <v>9.0</v>
      </c>
      <c r="M20" s="17">
        <v>10.0</v>
      </c>
      <c r="N20" s="17">
        <v>26.0</v>
      </c>
      <c r="O20" s="17">
        <v>19.0</v>
      </c>
      <c r="P20" s="17">
        <v>12.0</v>
      </c>
      <c r="Q20" s="17">
        <v>11.0</v>
      </c>
      <c r="R20" s="11">
        <f t="shared" ref="R20:R27" si="5">SUM(D20:Q20)</f>
        <v>156</v>
      </c>
      <c r="S20" s="12">
        <f t="shared" ref="S20:S27" si="6">R20/$R$15</f>
        <v>0.07749627422</v>
      </c>
    </row>
    <row r="21" ht="14.25" customHeight="1">
      <c r="A21" s="24"/>
      <c r="B21" s="24"/>
      <c r="C21" s="25" t="s">
        <v>10</v>
      </c>
      <c r="D21" s="17">
        <v>0.0</v>
      </c>
      <c r="E21" s="17">
        <v>0.0</v>
      </c>
      <c r="F21" s="17">
        <v>0.0</v>
      </c>
      <c r="G21" s="17">
        <v>0.0</v>
      </c>
      <c r="H21" s="17">
        <v>0.0</v>
      </c>
      <c r="I21" s="17">
        <v>0.0</v>
      </c>
      <c r="J21" s="17">
        <v>3.0</v>
      </c>
      <c r="K21" s="17">
        <v>2.0</v>
      </c>
      <c r="L21" s="17">
        <v>0.0</v>
      </c>
      <c r="M21" s="17">
        <v>0.0</v>
      </c>
      <c r="N21" s="17">
        <v>2.0</v>
      </c>
      <c r="O21" s="17">
        <v>5.0</v>
      </c>
      <c r="P21" s="17">
        <v>0.0</v>
      </c>
      <c r="Q21" s="17">
        <v>2.0</v>
      </c>
      <c r="R21" s="11">
        <f t="shared" si="5"/>
        <v>14</v>
      </c>
      <c r="S21" s="12">
        <f t="shared" si="6"/>
        <v>0.00695479384</v>
      </c>
    </row>
    <row r="22" ht="14.25" customHeight="1">
      <c r="A22" s="24"/>
      <c r="B22" s="24"/>
      <c r="C22" s="25" t="s">
        <v>11</v>
      </c>
      <c r="D22" s="17">
        <v>14.0</v>
      </c>
      <c r="E22" s="17">
        <v>27.0</v>
      </c>
      <c r="F22" s="17">
        <v>16.0</v>
      </c>
      <c r="G22" s="17">
        <v>10.0</v>
      </c>
      <c r="H22" s="17">
        <v>9.0</v>
      </c>
      <c r="I22" s="17">
        <v>4.0</v>
      </c>
      <c r="J22" s="17">
        <v>7.0</v>
      </c>
      <c r="K22" s="17">
        <v>5.0</v>
      </c>
      <c r="L22" s="17">
        <v>8.0</v>
      </c>
      <c r="M22" s="17">
        <v>6.0</v>
      </c>
      <c r="N22" s="17">
        <v>21.0</v>
      </c>
      <c r="O22" s="17">
        <v>29.0</v>
      </c>
      <c r="P22" s="17">
        <v>20.0</v>
      </c>
      <c r="Q22" s="17">
        <v>14.0</v>
      </c>
      <c r="R22" s="11">
        <f t="shared" si="5"/>
        <v>190</v>
      </c>
      <c r="S22" s="12">
        <f t="shared" si="6"/>
        <v>0.09438648783</v>
      </c>
    </row>
    <row r="23" ht="14.25" customHeight="1">
      <c r="A23" s="24"/>
      <c r="B23" s="24"/>
      <c r="C23" s="25" t="s">
        <v>12</v>
      </c>
      <c r="D23" s="17">
        <v>2.0</v>
      </c>
      <c r="E23" s="17">
        <v>5.0</v>
      </c>
      <c r="F23" s="17">
        <v>1.0</v>
      </c>
      <c r="G23" s="17">
        <v>1.0</v>
      </c>
      <c r="H23" s="25">
        <f>SUM(H32:H34)</f>
        <v>0</v>
      </c>
      <c r="I23" s="17">
        <v>2.0</v>
      </c>
      <c r="J23" s="17">
        <v>3.0</v>
      </c>
      <c r="K23" s="17">
        <v>3.0</v>
      </c>
      <c r="L23" s="25">
        <f>SUM(L32:L34)</f>
        <v>0</v>
      </c>
      <c r="M23" s="17">
        <v>2.0</v>
      </c>
      <c r="N23" s="17">
        <v>3.0</v>
      </c>
      <c r="O23" s="17">
        <v>11.0</v>
      </c>
      <c r="P23" s="17">
        <v>1.0</v>
      </c>
      <c r="Q23" s="17">
        <v>1.0</v>
      </c>
      <c r="R23" s="11">
        <f t="shared" si="5"/>
        <v>35</v>
      </c>
      <c r="S23" s="12">
        <f t="shared" si="6"/>
        <v>0.0173869846</v>
      </c>
    </row>
    <row r="24" ht="14.25" customHeight="1">
      <c r="A24" s="24"/>
      <c r="B24" s="24"/>
      <c r="C24" s="25" t="s">
        <v>13</v>
      </c>
      <c r="D24" s="17">
        <v>8.0</v>
      </c>
      <c r="E24" s="17">
        <v>9.0</v>
      </c>
      <c r="F24" s="17">
        <v>10.0</v>
      </c>
      <c r="G24" s="17">
        <v>9.0</v>
      </c>
      <c r="H24" s="17">
        <v>15.0</v>
      </c>
      <c r="I24" s="17">
        <v>10.0</v>
      </c>
      <c r="J24" s="17">
        <v>7.0</v>
      </c>
      <c r="K24" s="17">
        <v>2.0</v>
      </c>
      <c r="L24" s="17">
        <v>10.0</v>
      </c>
      <c r="M24" s="17">
        <v>8.0</v>
      </c>
      <c r="N24" s="17">
        <v>14.0</v>
      </c>
      <c r="O24" s="17">
        <v>3.0</v>
      </c>
      <c r="P24" s="17">
        <v>7.0</v>
      </c>
      <c r="Q24" s="17">
        <v>2.0</v>
      </c>
      <c r="R24" s="11">
        <f t="shared" si="5"/>
        <v>114</v>
      </c>
      <c r="S24" s="12">
        <f t="shared" si="6"/>
        <v>0.0566318927</v>
      </c>
    </row>
    <row r="25" ht="14.25" customHeight="1">
      <c r="A25" s="24"/>
      <c r="B25" s="24"/>
      <c r="C25" s="25" t="s">
        <v>14</v>
      </c>
      <c r="D25" s="17">
        <v>1.0</v>
      </c>
      <c r="E25" s="17">
        <v>1.0</v>
      </c>
      <c r="F25" s="17">
        <v>0.0</v>
      </c>
      <c r="G25" s="25">
        <f>SUM(G37:G38)</f>
        <v>12</v>
      </c>
      <c r="H25" s="17">
        <v>1.0</v>
      </c>
      <c r="I25" s="17">
        <v>2.0</v>
      </c>
      <c r="J25" s="17">
        <v>0.0</v>
      </c>
      <c r="K25" s="25">
        <f>SUM(K37:K38)</f>
        <v>26</v>
      </c>
      <c r="L25" s="17">
        <v>3.0</v>
      </c>
      <c r="M25" s="17">
        <v>4.0</v>
      </c>
      <c r="N25" s="17">
        <v>8.0</v>
      </c>
      <c r="O25" s="17">
        <v>2.0</v>
      </c>
      <c r="P25" s="17">
        <v>1.0</v>
      </c>
      <c r="Q25" s="17">
        <v>0.0</v>
      </c>
      <c r="R25" s="11">
        <f t="shared" si="5"/>
        <v>61</v>
      </c>
      <c r="S25" s="12">
        <f t="shared" si="6"/>
        <v>0.0303030303</v>
      </c>
    </row>
    <row r="26" ht="14.25" customHeight="1">
      <c r="A26" s="24"/>
      <c r="B26" s="24"/>
      <c r="C26" s="25" t="s">
        <v>15</v>
      </c>
      <c r="D26" s="17">
        <v>12.0</v>
      </c>
      <c r="E26" s="17">
        <v>5.0</v>
      </c>
      <c r="F26" s="17">
        <v>4.0</v>
      </c>
      <c r="G26" s="17">
        <v>0.0</v>
      </c>
      <c r="H26" s="17">
        <v>4.0</v>
      </c>
      <c r="I26" s="17">
        <v>4.0</v>
      </c>
      <c r="J26" s="17">
        <v>10.0</v>
      </c>
      <c r="K26" s="17">
        <v>6.0</v>
      </c>
      <c r="L26" s="17">
        <v>1.0</v>
      </c>
      <c r="M26" s="17">
        <v>2.0</v>
      </c>
      <c r="N26" s="17">
        <v>9.0</v>
      </c>
      <c r="O26" s="17">
        <v>38.0</v>
      </c>
      <c r="P26" s="17">
        <v>8.0</v>
      </c>
      <c r="Q26" s="25">
        <f>SUM(Q39:Q40)</f>
        <v>9</v>
      </c>
      <c r="R26" s="11">
        <f t="shared" si="5"/>
        <v>112</v>
      </c>
      <c r="S26" s="12">
        <f t="shared" si="6"/>
        <v>0.05563835072</v>
      </c>
    </row>
    <row r="27" ht="14.25" customHeight="1">
      <c r="A27" s="24"/>
      <c r="B27" s="24"/>
      <c r="C27" s="25" t="s">
        <v>16</v>
      </c>
      <c r="D27" s="17">
        <v>20.0</v>
      </c>
      <c r="E27" s="17">
        <v>20.0</v>
      </c>
      <c r="F27" s="17">
        <v>12.0</v>
      </c>
      <c r="G27" s="17">
        <v>4.0</v>
      </c>
      <c r="H27" s="17">
        <v>4.0</v>
      </c>
      <c r="I27" s="17">
        <v>5.0</v>
      </c>
      <c r="J27" s="17">
        <v>5.0</v>
      </c>
      <c r="K27" s="17">
        <v>4.0</v>
      </c>
      <c r="L27" s="17">
        <v>7.0</v>
      </c>
      <c r="M27" s="17">
        <v>15.0</v>
      </c>
      <c r="N27" s="17">
        <v>18.0</v>
      </c>
      <c r="O27" s="17">
        <v>38.0</v>
      </c>
      <c r="P27" s="17">
        <v>12.0</v>
      </c>
      <c r="Q27" s="17">
        <v>6.0</v>
      </c>
      <c r="R27" s="11">
        <f t="shared" si="5"/>
        <v>170</v>
      </c>
      <c r="S27" s="12">
        <f t="shared" si="6"/>
        <v>0.08445106806</v>
      </c>
    </row>
    <row r="28" ht="14.25" customHeight="1">
      <c r="A28" s="24"/>
      <c r="B28" s="24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4"/>
      <c r="S28" s="24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3"/>
      <c r="B31" s="23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1" t="s">
        <v>20</v>
      </c>
      <c r="S31" s="12" t="s">
        <v>21</v>
      </c>
    </row>
    <row r="32" ht="14.25" customHeight="1">
      <c r="A32" s="24"/>
      <c r="B32" s="24"/>
      <c r="C32" s="30" t="s">
        <v>30</v>
      </c>
      <c r="D32" s="31">
        <v>1.0</v>
      </c>
      <c r="E32" s="32">
        <v>4.0</v>
      </c>
      <c r="F32" s="31">
        <v>0.0</v>
      </c>
      <c r="G32" s="31">
        <v>1.0</v>
      </c>
      <c r="H32" s="31">
        <v>0.0</v>
      </c>
      <c r="I32" s="31">
        <v>2.0</v>
      </c>
      <c r="J32" s="31">
        <v>2.0</v>
      </c>
      <c r="K32" s="31">
        <v>2.0</v>
      </c>
      <c r="L32" s="31">
        <v>0.0</v>
      </c>
      <c r="M32" s="31">
        <v>1.0</v>
      </c>
      <c r="N32" s="31">
        <v>1.0</v>
      </c>
      <c r="O32" s="31">
        <v>3.0</v>
      </c>
      <c r="P32" s="31">
        <v>0.0</v>
      </c>
      <c r="Q32" s="31">
        <v>1.0</v>
      </c>
      <c r="R32" s="11">
        <f t="shared" ref="R32:R54" si="7">SUM(D32:Q32)</f>
        <v>18</v>
      </c>
      <c r="S32" s="12">
        <f t="shared" ref="S32:S54" si="8">R32/$R$15</f>
        <v>0.008941877794</v>
      </c>
    </row>
    <row r="33" ht="14.25" customHeight="1">
      <c r="A33" s="24"/>
      <c r="B33" s="24"/>
      <c r="C33" s="33" t="s">
        <v>31</v>
      </c>
      <c r="D33" s="34">
        <v>1.0</v>
      </c>
      <c r="E33" s="34">
        <v>1.0</v>
      </c>
      <c r="F33" s="34">
        <v>1.0</v>
      </c>
      <c r="G33" s="34">
        <v>0.0</v>
      </c>
      <c r="H33" s="34">
        <v>0.0</v>
      </c>
      <c r="I33" s="34">
        <v>0.0</v>
      </c>
      <c r="J33" s="34">
        <v>1.0</v>
      </c>
      <c r="K33" s="34">
        <v>1.0</v>
      </c>
      <c r="L33" s="34">
        <v>0.0</v>
      </c>
      <c r="M33" s="34">
        <v>1.0</v>
      </c>
      <c r="N33" s="34">
        <v>2.0</v>
      </c>
      <c r="O33" s="34">
        <v>0.0</v>
      </c>
      <c r="P33" s="34">
        <v>1.0</v>
      </c>
      <c r="Q33" s="34">
        <v>0.0</v>
      </c>
      <c r="R33" s="11">
        <f t="shared" si="7"/>
        <v>9</v>
      </c>
      <c r="S33" s="12">
        <f t="shared" si="8"/>
        <v>0.004470938897</v>
      </c>
    </row>
    <row r="34" ht="14.25" customHeight="1">
      <c r="A34" s="24"/>
      <c r="B34" s="24"/>
      <c r="C34" s="30" t="s">
        <v>32</v>
      </c>
      <c r="D34" s="31">
        <v>0.0</v>
      </c>
      <c r="E34" s="32">
        <v>0.0</v>
      </c>
      <c r="F34" s="31">
        <v>0.0</v>
      </c>
      <c r="G34" s="31">
        <v>0.0</v>
      </c>
      <c r="H34" s="31">
        <v>0.0</v>
      </c>
      <c r="I34" s="31">
        <v>0.0</v>
      </c>
      <c r="J34" s="31">
        <v>0.0</v>
      </c>
      <c r="K34" s="31">
        <v>0.0</v>
      </c>
      <c r="L34" s="31">
        <v>0.0</v>
      </c>
      <c r="M34" s="31">
        <v>0.0</v>
      </c>
      <c r="N34" s="31">
        <v>0.0</v>
      </c>
      <c r="O34" s="31">
        <v>0.0</v>
      </c>
      <c r="P34" s="31">
        <v>0.0</v>
      </c>
      <c r="Q34" s="31">
        <v>0.0</v>
      </c>
      <c r="R34" s="11">
        <f t="shared" si="7"/>
        <v>0</v>
      </c>
      <c r="S34" s="12">
        <f t="shared" si="8"/>
        <v>0</v>
      </c>
    </row>
    <row r="35" ht="14.25" customHeight="1">
      <c r="A35" s="24"/>
      <c r="B35" s="24"/>
      <c r="C35" s="33" t="s">
        <v>33</v>
      </c>
      <c r="D35" s="34">
        <v>8.0</v>
      </c>
      <c r="E35" s="34">
        <v>9.0</v>
      </c>
      <c r="F35" s="34">
        <v>10.0</v>
      </c>
      <c r="G35" s="34">
        <v>9.0</v>
      </c>
      <c r="H35" s="34">
        <v>15.0</v>
      </c>
      <c r="I35" s="34">
        <v>10.0</v>
      </c>
      <c r="J35" s="34">
        <v>7.0</v>
      </c>
      <c r="K35" s="34">
        <v>2.0</v>
      </c>
      <c r="L35" s="34">
        <v>10.0</v>
      </c>
      <c r="M35" s="34">
        <v>8.0</v>
      </c>
      <c r="N35" s="34">
        <v>14.0</v>
      </c>
      <c r="O35" s="34">
        <v>11.0</v>
      </c>
      <c r="P35" s="34">
        <v>7.0</v>
      </c>
      <c r="Q35" s="34">
        <v>2.0</v>
      </c>
      <c r="R35" s="11">
        <f t="shared" si="7"/>
        <v>122</v>
      </c>
      <c r="S35" s="12">
        <f t="shared" si="8"/>
        <v>0.06060606061</v>
      </c>
    </row>
    <row r="36" ht="14.25" customHeight="1">
      <c r="A36" s="24"/>
      <c r="B36" s="24"/>
      <c r="C36" s="30" t="s">
        <v>34</v>
      </c>
      <c r="D36" s="31">
        <v>8.0</v>
      </c>
      <c r="E36" s="32">
        <v>7.0</v>
      </c>
      <c r="F36" s="31">
        <v>6.0</v>
      </c>
      <c r="G36" s="31">
        <v>8.0</v>
      </c>
      <c r="H36" s="31">
        <v>9.0</v>
      </c>
      <c r="I36" s="31">
        <v>7.0</v>
      </c>
      <c r="J36" s="31">
        <v>4.0</v>
      </c>
      <c r="K36" s="31">
        <v>5.0</v>
      </c>
      <c r="L36" s="31">
        <v>10.0</v>
      </c>
      <c r="M36" s="31">
        <v>6.0</v>
      </c>
      <c r="N36" s="31">
        <v>13.0</v>
      </c>
      <c r="O36" s="31">
        <v>18.0</v>
      </c>
      <c r="P36" s="31">
        <v>5.0</v>
      </c>
      <c r="Q36" s="31">
        <v>8.0</v>
      </c>
      <c r="R36" s="11">
        <f t="shared" si="7"/>
        <v>114</v>
      </c>
      <c r="S36" s="12">
        <f t="shared" si="8"/>
        <v>0.0566318927</v>
      </c>
    </row>
    <row r="37" ht="14.25" customHeight="1">
      <c r="A37" s="24"/>
      <c r="B37" s="24"/>
      <c r="C37" s="35" t="s">
        <v>14</v>
      </c>
      <c r="D37" s="17">
        <v>1.0</v>
      </c>
      <c r="E37" s="17">
        <v>1.0</v>
      </c>
      <c r="F37" s="17">
        <v>0.0</v>
      </c>
      <c r="G37" s="17">
        <v>0.0</v>
      </c>
      <c r="H37" s="17">
        <v>1.0</v>
      </c>
      <c r="I37" s="17">
        <v>2.0</v>
      </c>
      <c r="J37" s="17">
        <v>0.0</v>
      </c>
      <c r="K37" s="17">
        <v>0.0</v>
      </c>
      <c r="L37" s="17">
        <v>3.0</v>
      </c>
      <c r="M37" s="17">
        <v>4.0</v>
      </c>
      <c r="N37" s="17">
        <v>8.0</v>
      </c>
      <c r="O37" s="17">
        <v>2.0</v>
      </c>
      <c r="P37" s="17">
        <v>1.0</v>
      </c>
      <c r="Q37" s="17">
        <v>0.0</v>
      </c>
      <c r="R37" s="11">
        <f t="shared" si="7"/>
        <v>23</v>
      </c>
      <c r="S37" s="12">
        <f t="shared" si="8"/>
        <v>0.01142573274</v>
      </c>
    </row>
    <row r="38" ht="14.25" customHeight="1">
      <c r="A38" s="24"/>
      <c r="B38" s="24"/>
      <c r="C38" s="30" t="s">
        <v>35</v>
      </c>
      <c r="D38" s="31">
        <v>0.0</v>
      </c>
      <c r="E38" s="32">
        <v>0.0</v>
      </c>
      <c r="F38" s="31">
        <v>2.0</v>
      </c>
      <c r="G38" s="31">
        <v>12.0</v>
      </c>
      <c r="H38" s="31">
        <v>15.0</v>
      </c>
      <c r="I38" s="31">
        <v>35.0</v>
      </c>
      <c r="J38" s="31">
        <v>45.0</v>
      </c>
      <c r="K38" s="31">
        <v>26.0</v>
      </c>
      <c r="L38" s="31">
        <v>24.0</v>
      </c>
      <c r="M38" s="31">
        <v>26.0</v>
      </c>
      <c r="N38" s="31">
        <v>26.0</v>
      </c>
      <c r="O38" s="31">
        <v>26.0</v>
      </c>
      <c r="P38" s="31">
        <v>17.0</v>
      </c>
      <c r="Q38" s="31">
        <v>15.0</v>
      </c>
      <c r="R38" s="11">
        <f t="shared" si="7"/>
        <v>269</v>
      </c>
      <c r="S38" s="12">
        <f t="shared" si="8"/>
        <v>0.1336313959</v>
      </c>
    </row>
    <row r="39" ht="14.25" customHeight="1">
      <c r="A39" s="24"/>
      <c r="B39" s="24"/>
      <c r="C39" s="35" t="s">
        <v>15</v>
      </c>
      <c r="D39" s="17">
        <v>12.0</v>
      </c>
      <c r="E39" s="36">
        <v>5.0</v>
      </c>
      <c r="F39" s="17">
        <v>4.0</v>
      </c>
      <c r="G39" s="17">
        <v>0.0</v>
      </c>
      <c r="H39" s="17">
        <v>4.0</v>
      </c>
      <c r="I39" s="17">
        <v>4.0</v>
      </c>
      <c r="J39" s="17">
        <v>10.0</v>
      </c>
      <c r="K39" s="17">
        <v>6.0</v>
      </c>
      <c r="L39" s="17">
        <v>1.0</v>
      </c>
      <c r="M39" s="17">
        <v>2.0</v>
      </c>
      <c r="N39" s="17">
        <v>9.0</v>
      </c>
      <c r="O39" s="17">
        <v>38.0</v>
      </c>
      <c r="P39" s="17">
        <v>8.0</v>
      </c>
      <c r="Q39" s="17">
        <v>2.0</v>
      </c>
      <c r="R39" s="11">
        <f t="shared" si="7"/>
        <v>105</v>
      </c>
      <c r="S39" s="12">
        <f t="shared" si="8"/>
        <v>0.0521609538</v>
      </c>
    </row>
    <row r="40" ht="14.25" customHeight="1">
      <c r="A40" s="24"/>
      <c r="B40" s="24"/>
      <c r="C40" s="30" t="s">
        <v>36</v>
      </c>
      <c r="D40" s="17">
        <v>10.0</v>
      </c>
      <c r="E40" s="17">
        <v>5.0</v>
      </c>
      <c r="F40" s="17">
        <v>0.0</v>
      </c>
      <c r="G40" s="17">
        <v>0.0</v>
      </c>
      <c r="H40" s="17">
        <v>0.0</v>
      </c>
      <c r="I40" s="17">
        <v>4.0</v>
      </c>
      <c r="J40" s="17">
        <v>0.0</v>
      </c>
      <c r="K40" s="17">
        <v>0.0</v>
      </c>
      <c r="L40" s="17">
        <v>4.0</v>
      </c>
      <c r="M40" s="17">
        <v>3.0</v>
      </c>
      <c r="N40" s="17">
        <v>22.0</v>
      </c>
      <c r="O40" s="17">
        <v>16.0</v>
      </c>
      <c r="P40" s="17">
        <v>10.0</v>
      </c>
      <c r="Q40" s="17">
        <v>7.0</v>
      </c>
      <c r="R40" s="11">
        <f t="shared" si="7"/>
        <v>81</v>
      </c>
      <c r="S40" s="12">
        <f t="shared" si="8"/>
        <v>0.04023845007</v>
      </c>
    </row>
    <row r="41" ht="14.25" customHeight="1">
      <c r="A41" s="24"/>
      <c r="B41" s="24"/>
      <c r="C41" s="35" t="s">
        <v>37</v>
      </c>
      <c r="D41" s="17">
        <v>4.0</v>
      </c>
      <c r="E41" s="17">
        <v>9.0</v>
      </c>
      <c r="F41" s="17">
        <v>16.0</v>
      </c>
      <c r="G41" s="17">
        <v>9.0</v>
      </c>
      <c r="H41" s="17">
        <v>5.0</v>
      </c>
      <c r="I41" s="17">
        <v>7.0</v>
      </c>
      <c r="J41" s="17">
        <v>14.0</v>
      </c>
      <c r="K41" s="17">
        <v>7.0</v>
      </c>
      <c r="L41" s="17">
        <v>5.0</v>
      </c>
      <c r="M41" s="17">
        <v>16.0</v>
      </c>
      <c r="N41" s="17">
        <v>27.0</v>
      </c>
      <c r="O41" s="17">
        <v>38.0</v>
      </c>
      <c r="P41" s="17">
        <v>20.0</v>
      </c>
      <c r="Q41" s="17">
        <v>20.0</v>
      </c>
      <c r="R41" s="11">
        <f t="shared" si="7"/>
        <v>197</v>
      </c>
      <c r="S41" s="12">
        <f t="shared" si="8"/>
        <v>0.09786388475</v>
      </c>
    </row>
    <row r="42" ht="14.25" customHeight="1">
      <c r="A42" s="24"/>
      <c r="B42" s="24"/>
      <c r="C42" s="25" t="s">
        <v>38</v>
      </c>
      <c r="D42" s="17">
        <v>0.0</v>
      </c>
      <c r="E42" s="17">
        <v>0.0</v>
      </c>
      <c r="F42" s="17">
        <v>3.0</v>
      </c>
      <c r="G42" s="17">
        <v>0.0</v>
      </c>
      <c r="H42" s="17">
        <v>0.0</v>
      </c>
      <c r="I42" s="17">
        <v>0.0</v>
      </c>
      <c r="J42" s="17">
        <v>0.0</v>
      </c>
      <c r="K42" s="17">
        <v>0.0</v>
      </c>
      <c r="L42" s="17">
        <v>1.0</v>
      </c>
      <c r="M42" s="17">
        <v>0.0</v>
      </c>
      <c r="N42" s="36">
        <v>0.0</v>
      </c>
      <c r="O42" s="17">
        <v>0.0</v>
      </c>
      <c r="P42" s="17">
        <v>0.0</v>
      </c>
      <c r="Q42" s="17">
        <v>0.0</v>
      </c>
      <c r="R42" s="11">
        <f t="shared" si="7"/>
        <v>4</v>
      </c>
      <c r="S42" s="12">
        <f t="shared" si="8"/>
        <v>0.001987083954</v>
      </c>
    </row>
    <row r="43" ht="14.25" customHeight="1">
      <c r="A43" s="24"/>
      <c r="B43" s="24"/>
      <c r="C43" s="25" t="s">
        <v>39</v>
      </c>
      <c r="D43" s="17">
        <v>0.0</v>
      </c>
      <c r="E43" s="17">
        <v>0.0</v>
      </c>
      <c r="F43" s="17">
        <v>0.0</v>
      </c>
      <c r="G43" s="17">
        <v>1.0</v>
      </c>
      <c r="H43" s="17">
        <v>0.0</v>
      </c>
      <c r="I43" s="17">
        <v>1.0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36">
        <v>0.0</v>
      </c>
      <c r="P43" s="17">
        <v>0.0</v>
      </c>
      <c r="Q43" s="17">
        <v>0.0</v>
      </c>
      <c r="R43" s="11">
        <f t="shared" si="7"/>
        <v>2</v>
      </c>
      <c r="S43" s="12">
        <f t="shared" si="8"/>
        <v>0.0009935419771</v>
      </c>
    </row>
    <row r="44" ht="14.25" customHeight="1">
      <c r="A44" s="24"/>
      <c r="B44" s="24"/>
      <c r="C44" s="25" t="s">
        <v>40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36">
        <v>0.0</v>
      </c>
      <c r="O44" s="17">
        <v>0.0</v>
      </c>
      <c r="P44" s="17">
        <v>0.0</v>
      </c>
      <c r="Q44" s="17">
        <v>0.0</v>
      </c>
      <c r="R44" s="11">
        <f t="shared" si="7"/>
        <v>0</v>
      </c>
      <c r="S44" s="12">
        <f t="shared" si="8"/>
        <v>0</v>
      </c>
    </row>
    <row r="45" ht="14.25" customHeight="1">
      <c r="A45" s="24"/>
      <c r="B45" s="24"/>
      <c r="C45" s="25" t="s">
        <v>41</v>
      </c>
      <c r="D45" s="17">
        <v>3.0</v>
      </c>
      <c r="E45" s="17">
        <v>0.0</v>
      </c>
      <c r="F45" s="17">
        <v>1.0</v>
      </c>
      <c r="G45" s="17">
        <v>2.0</v>
      </c>
      <c r="H45" s="17">
        <v>1.0</v>
      </c>
      <c r="I45" s="17">
        <v>1.0</v>
      </c>
      <c r="J45" s="17">
        <v>2.0</v>
      </c>
      <c r="K45" s="17">
        <v>2.0</v>
      </c>
      <c r="L45" s="17">
        <v>1.0</v>
      </c>
      <c r="M45" s="17">
        <v>0.0</v>
      </c>
      <c r="N45" s="36">
        <v>0.0</v>
      </c>
      <c r="O45" s="17">
        <v>0.0</v>
      </c>
      <c r="P45" s="17">
        <v>0.0</v>
      </c>
      <c r="Q45" s="17">
        <v>0.0</v>
      </c>
      <c r="R45" s="11">
        <f t="shared" si="7"/>
        <v>13</v>
      </c>
      <c r="S45" s="12">
        <f t="shared" si="8"/>
        <v>0.006458022851</v>
      </c>
    </row>
    <row r="46" ht="14.25" customHeight="1">
      <c r="A46" s="24"/>
      <c r="B46" s="24"/>
      <c r="C46" s="25" t="s">
        <v>42</v>
      </c>
      <c r="D46" s="17">
        <v>0.0</v>
      </c>
      <c r="E46" s="17">
        <v>0.0</v>
      </c>
      <c r="F46" s="17">
        <v>3.0</v>
      </c>
      <c r="G46" s="17">
        <v>0.0</v>
      </c>
      <c r="H46" s="17">
        <v>0.0</v>
      </c>
      <c r="I46" s="17">
        <v>0.0</v>
      </c>
      <c r="J46" s="17">
        <v>2.0</v>
      </c>
      <c r="K46" s="17">
        <v>0.0</v>
      </c>
      <c r="L46" s="17">
        <v>0.0</v>
      </c>
      <c r="M46" s="17">
        <v>7.0</v>
      </c>
      <c r="N46" s="36">
        <v>2.0</v>
      </c>
      <c r="O46" s="17">
        <v>2.0</v>
      </c>
      <c r="P46" s="17">
        <v>3.0</v>
      </c>
      <c r="Q46" s="17">
        <v>1.0</v>
      </c>
      <c r="R46" s="11">
        <f t="shared" si="7"/>
        <v>20</v>
      </c>
      <c r="S46" s="12">
        <f t="shared" si="8"/>
        <v>0.009935419771</v>
      </c>
    </row>
    <row r="47" ht="14.25" customHeight="1">
      <c r="A47" s="24"/>
      <c r="B47" s="24"/>
      <c r="C47" s="25" t="s">
        <v>43</v>
      </c>
      <c r="D47" s="17">
        <v>0.0</v>
      </c>
      <c r="E47" s="17">
        <v>0.0</v>
      </c>
      <c r="F47" s="17">
        <v>0.0</v>
      </c>
      <c r="G47" s="17">
        <v>1.0</v>
      </c>
      <c r="H47" s="17">
        <v>1.0</v>
      </c>
      <c r="I47" s="17">
        <v>0.0</v>
      </c>
      <c r="J47" s="17">
        <v>0.0</v>
      </c>
      <c r="K47" s="17">
        <v>0.0</v>
      </c>
      <c r="L47" s="17">
        <v>0.0</v>
      </c>
      <c r="M47" s="17">
        <v>0.0</v>
      </c>
      <c r="N47" s="36">
        <v>0.0</v>
      </c>
      <c r="O47" s="17">
        <v>0.0</v>
      </c>
      <c r="P47" s="17">
        <v>0.0</v>
      </c>
      <c r="Q47" s="17">
        <v>0.0</v>
      </c>
      <c r="R47" s="11">
        <f t="shared" si="7"/>
        <v>2</v>
      </c>
      <c r="S47" s="12">
        <f t="shared" si="8"/>
        <v>0.0009935419771</v>
      </c>
    </row>
    <row r="48" ht="14.25" customHeight="1">
      <c r="A48" s="24"/>
      <c r="B48" s="24"/>
      <c r="C48" s="25" t="s">
        <v>44</v>
      </c>
      <c r="D48" s="17">
        <v>0.0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36">
        <v>0.0</v>
      </c>
      <c r="O48" s="17">
        <v>0.0</v>
      </c>
      <c r="P48" s="17">
        <v>0.0</v>
      </c>
      <c r="Q48" s="17">
        <v>0.0</v>
      </c>
      <c r="R48" s="11">
        <f t="shared" si="7"/>
        <v>0</v>
      </c>
      <c r="S48" s="12">
        <f t="shared" si="8"/>
        <v>0</v>
      </c>
    </row>
    <row r="49" ht="14.25" customHeight="1">
      <c r="A49" s="24"/>
      <c r="B49" s="24"/>
      <c r="C49" s="25" t="s">
        <v>45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36">
        <v>0.0</v>
      </c>
      <c r="O49" s="17">
        <v>0.0</v>
      </c>
      <c r="P49" s="17">
        <v>0.0</v>
      </c>
      <c r="Q49" s="17">
        <v>0.0</v>
      </c>
      <c r="R49" s="11">
        <f t="shared" si="7"/>
        <v>0</v>
      </c>
      <c r="S49" s="12">
        <f t="shared" si="8"/>
        <v>0</v>
      </c>
    </row>
    <row r="50" ht="14.25" customHeight="1">
      <c r="A50" s="24"/>
      <c r="B50" s="24"/>
      <c r="C50" s="25" t="s">
        <v>46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36">
        <v>0.0</v>
      </c>
      <c r="O50" s="17">
        <v>0.0</v>
      </c>
      <c r="P50" s="17">
        <v>0.0</v>
      </c>
      <c r="Q50" s="17">
        <v>0.0</v>
      </c>
      <c r="R50" s="11">
        <f t="shared" si="7"/>
        <v>0</v>
      </c>
      <c r="S50" s="12">
        <f t="shared" si="8"/>
        <v>0</v>
      </c>
    </row>
    <row r="51" ht="14.25" customHeight="1">
      <c r="A51" s="24"/>
      <c r="B51" s="24"/>
      <c r="C51" s="25" t="s">
        <v>47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7"/>
      <c r="O51" s="25"/>
      <c r="P51" s="25"/>
      <c r="Q51" s="25"/>
      <c r="R51" s="11">
        <f t="shared" si="7"/>
        <v>0</v>
      </c>
      <c r="S51" s="12">
        <f t="shared" si="8"/>
        <v>0</v>
      </c>
    </row>
    <row r="52" ht="14.25" customHeight="1">
      <c r="A52" s="24"/>
      <c r="B52" s="24"/>
      <c r="C52" s="17" t="s">
        <v>48</v>
      </c>
      <c r="D52" s="17">
        <v>0.0</v>
      </c>
      <c r="E52" s="17">
        <v>0.0</v>
      </c>
      <c r="F52" s="17">
        <v>0.0</v>
      </c>
      <c r="G52" s="17">
        <v>1.0</v>
      </c>
      <c r="H52" s="17">
        <v>1.0</v>
      </c>
      <c r="I52" s="17">
        <v>2.0</v>
      </c>
      <c r="J52" s="17">
        <v>0.0</v>
      </c>
      <c r="K52" s="17">
        <v>0.0</v>
      </c>
      <c r="L52" s="17">
        <v>0.0</v>
      </c>
      <c r="M52" s="17">
        <v>0.0</v>
      </c>
      <c r="N52" s="36">
        <v>0.0</v>
      </c>
      <c r="O52" s="17">
        <v>0.0</v>
      </c>
      <c r="P52" s="17">
        <v>0.0</v>
      </c>
      <c r="Q52" s="17">
        <v>0.0</v>
      </c>
      <c r="R52" s="11">
        <f t="shared" si="7"/>
        <v>4</v>
      </c>
      <c r="S52" s="12">
        <f t="shared" si="8"/>
        <v>0.001987083954</v>
      </c>
    </row>
    <row r="53" ht="14.25" customHeight="1">
      <c r="A53" s="24"/>
      <c r="B53" s="24"/>
      <c r="C53" s="17" t="s">
        <v>49</v>
      </c>
      <c r="D53" s="17">
        <v>39.0</v>
      </c>
      <c r="E53" s="17">
        <v>45.0</v>
      </c>
      <c r="F53" s="17">
        <v>40.0</v>
      </c>
      <c r="G53" s="17">
        <v>17.0</v>
      </c>
      <c r="H53" s="17">
        <v>27.0</v>
      </c>
      <c r="I53" s="17">
        <v>21.0</v>
      </c>
      <c r="J53" s="17">
        <v>31.0</v>
      </c>
      <c r="K53" s="17">
        <v>26.0</v>
      </c>
      <c r="L53" s="17">
        <v>12.0</v>
      </c>
      <c r="M53" s="17">
        <v>34.0</v>
      </c>
      <c r="N53" s="36">
        <v>81.0</v>
      </c>
      <c r="O53" s="17">
        <v>113.0</v>
      </c>
      <c r="P53" s="17">
        <v>65.0</v>
      </c>
      <c r="Q53" s="17">
        <v>27.0</v>
      </c>
      <c r="R53" s="11">
        <f t="shared" si="7"/>
        <v>578</v>
      </c>
      <c r="S53" s="12">
        <f t="shared" si="8"/>
        <v>0.2871336314</v>
      </c>
    </row>
    <row r="54" ht="14.25" customHeight="1">
      <c r="A54" s="24"/>
      <c r="B54" s="24"/>
      <c r="C54" s="17" t="s">
        <v>50</v>
      </c>
      <c r="D54" s="17">
        <v>2.0</v>
      </c>
      <c r="E54" s="17">
        <v>4.0</v>
      </c>
      <c r="F54" s="17">
        <v>2.0</v>
      </c>
      <c r="G54" s="17">
        <v>1.0</v>
      </c>
      <c r="H54" s="17">
        <v>1.0</v>
      </c>
      <c r="I54" s="17">
        <v>4.0</v>
      </c>
      <c r="J54" s="17">
        <v>1.0</v>
      </c>
      <c r="K54" s="17">
        <v>4.0</v>
      </c>
      <c r="L54" s="17">
        <v>0.0</v>
      </c>
      <c r="M54" s="17">
        <v>1.0</v>
      </c>
      <c r="N54" s="17">
        <v>1.0</v>
      </c>
      <c r="O54" s="17">
        <v>5.0</v>
      </c>
      <c r="P54" s="17">
        <v>0.0</v>
      </c>
      <c r="Q54" s="17">
        <v>4.0</v>
      </c>
      <c r="R54" s="11">
        <f t="shared" si="7"/>
        <v>30</v>
      </c>
      <c r="S54" s="12">
        <f t="shared" si="8"/>
        <v>0.01490312966</v>
      </c>
    </row>
    <row r="55" ht="14.25" customHeight="1">
      <c r="A55" s="24"/>
      <c r="B55" s="24"/>
      <c r="C55" s="38" t="s">
        <v>51</v>
      </c>
      <c r="D55" s="38">
        <v>0.0</v>
      </c>
      <c r="E55" s="38">
        <v>0.0</v>
      </c>
      <c r="F55" s="38">
        <v>0.0</v>
      </c>
      <c r="G55" s="38">
        <v>0.0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24"/>
      <c r="S55" s="12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39" t="str">
        <f>Fluxo!A2</f>
        <v>TOTAL</v>
      </c>
      <c r="F1" s="39">
        <v>2.0</v>
      </c>
      <c r="G1" s="40" t="str">
        <f t="array" ref="G1:G19">TRANSPOSE(Dados!2:2)</f>
        <v/>
      </c>
    </row>
    <row r="2" ht="12.75" customHeight="1">
      <c r="F2" s="39">
        <v>3.0</v>
      </c>
      <c r="G2" s="40" t="s">
        <v>18</v>
      </c>
    </row>
    <row r="3" ht="12.75" customHeight="1">
      <c r="A3" s="40" t="str">
        <f>Dados!B3</f>
        <v>OLINDA</v>
      </c>
      <c r="B3" s="40" t="str">
        <f>Dados!C3</f>
        <v>DERBY</v>
      </c>
      <c r="F3" s="39">
        <v>4.0</v>
      </c>
      <c r="G3" s="40" t="s">
        <v>19</v>
      </c>
      <c r="Q3" s="40">
        <f>HLOOKUP($A$1,Dados!$D$2:$S$14,F1,0)</f>
        <v>50</v>
      </c>
    </row>
    <row r="4" ht="12.75" customHeight="1">
      <c r="A4" s="40" t="str">
        <f>Dados!B4</f>
        <v>OLINDA</v>
      </c>
      <c r="B4" s="40" t="str">
        <f>Dados!C4</f>
        <v>BOA VIAGEM</v>
      </c>
      <c r="F4" s="39">
        <v>5.0</v>
      </c>
      <c r="G4" s="40">
        <v>6.0</v>
      </c>
      <c r="Q4" s="40">
        <f>HLOOKUP($A$1,Dados!$D$2:$S$14,F2,0)</f>
        <v>25</v>
      </c>
    </row>
    <row r="5" ht="12.75" customHeight="1">
      <c r="A5" s="40" t="str">
        <f>Dados!B5</f>
        <v>OLINDA</v>
      </c>
      <c r="B5" s="40" t="str">
        <f>Dados!C5</f>
        <v>BOA VISTA</v>
      </c>
      <c r="F5" s="39">
        <v>6.0</v>
      </c>
      <c r="G5" s="40">
        <v>7.0</v>
      </c>
      <c r="Q5" s="40">
        <f>HLOOKUP($A$1,Dados!$D$2:$S$14,F3,0)</f>
        <v>25</v>
      </c>
    </row>
    <row r="6" ht="12.75" customHeight="1">
      <c r="A6" s="40" t="str">
        <f>Dados!B6</f>
        <v>BOA VISTA</v>
      </c>
      <c r="B6" s="40" t="str">
        <f>Dados!C6</f>
        <v>OLINDA</v>
      </c>
      <c r="F6" s="39">
        <v>7.0</v>
      </c>
      <c r="G6" s="40">
        <v>8.0</v>
      </c>
      <c r="Q6" s="40">
        <f>HLOOKUP($A$1,Dados!$D$2:$S$14,F4,0)</f>
        <v>26</v>
      </c>
    </row>
    <row r="7" ht="12.75" customHeight="1">
      <c r="A7" s="40" t="str">
        <f>Dados!B7</f>
        <v>BOA VISTA</v>
      </c>
      <c r="B7" s="40" t="str">
        <f>Dados!C7</f>
        <v>DERBY</v>
      </c>
      <c r="F7" s="39">
        <v>8.0</v>
      </c>
      <c r="G7" s="40">
        <v>9.0</v>
      </c>
      <c r="Q7" s="40">
        <f>HLOOKUP($A$1,Dados!$D$2:$S$14,F5,0)</f>
        <v>474</v>
      </c>
    </row>
    <row r="8" ht="12.75" customHeight="1">
      <c r="A8" s="40" t="str">
        <f>Dados!B8</f>
        <v>BOA VISTA</v>
      </c>
      <c r="B8" s="40" t="str">
        <f>Dados!C8</f>
        <v>BOA VIAGEM</v>
      </c>
      <c r="F8" s="39">
        <v>9.0</v>
      </c>
      <c r="G8" s="40">
        <v>10.0</v>
      </c>
      <c r="Q8" s="40">
        <f>HLOOKUP($A$1,Dados!$D$2:$S$14,F6,0)</f>
        <v>16</v>
      </c>
    </row>
    <row r="9" ht="12.75" customHeight="1">
      <c r="A9" s="40" t="str">
        <f>Dados!B9</f>
        <v>BOA VIAGEM</v>
      </c>
      <c r="B9" s="40" t="str">
        <f>Dados!C9</f>
        <v>BOA VISTA</v>
      </c>
      <c r="F9" s="39">
        <v>10.0</v>
      </c>
      <c r="G9" s="40">
        <v>11.0</v>
      </c>
      <c r="Q9" s="40">
        <f>HLOOKUP($A$1,Dados!$D$2:$S$14,F7,0)</f>
        <v>37</v>
      </c>
    </row>
    <row r="10" ht="12.75" customHeight="1">
      <c r="A10" s="40" t="str">
        <f>Dados!B10</f>
        <v>BOA VIAGEM</v>
      </c>
      <c r="B10" s="40" t="str">
        <f>Dados!C10</f>
        <v>OLINDA</v>
      </c>
      <c r="F10" s="39">
        <v>11.0</v>
      </c>
      <c r="G10" s="40">
        <v>12.0</v>
      </c>
      <c r="Q10" s="40">
        <f>HLOOKUP($A$1,Dados!$D$2:$S$14,F8,0)</f>
        <v>483</v>
      </c>
    </row>
    <row r="11" ht="12.75" customHeight="1">
      <c r="A11" s="40" t="str">
        <f>Dados!B11</f>
        <v>BOA VIAGEM</v>
      </c>
      <c r="B11" s="40" t="str">
        <f>Dados!C11</f>
        <v>DERBY</v>
      </c>
      <c r="F11" s="39">
        <v>12.0</v>
      </c>
      <c r="G11" s="40">
        <v>13.0</v>
      </c>
      <c r="Q11" s="40">
        <f>HLOOKUP($A$1,Dados!$D$2:$S$14,F9,0)</f>
        <v>74</v>
      </c>
    </row>
    <row r="12" ht="12.75" customHeight="1">
      <c r="A12" s="40" t="str">
        <f>Dados!B12</f>
        <v>DERBY</v>
      </c>
      <c r="B12" s="40" t="str">
        <f>Dados!C12</f>
        <v>BOA VIAGEM</v>
      </c>
      <c r="F12" s="39">
        <v>13.0</v>
      </c>
      <c r="G12" s="40">
        <v>14.0</v>
      </c>
      <c r="Q12" s="40">
        <f>HLOOKUP($A$1,Dados!$D$2:$S$14,F10,0)</f>
        <v>6</v>
      </c>
    </row>
    <row r="13" ht="12.75" customHeight="1">
      <c r="A13" s="40" t="str">
        <f>Dados!B13</f>
        <v>DERBY</v>
      </c>
      <c r="B13" s="40" t="str">
        <f>Dados!C13</f>
        <v>BOA VISTA</v>
      </c>
      <c r="G13" s="40">
        <v>15.0</v>
      </c>
      <c r="Q13" s="40">
        <f>HLOOKUP($A$1,Dados!$D$2:$S$14,F11,0)</f>
        <v>551</v>
      </c>
    </row>
    <row r="14" ht="12.75" customHeight="1">
      <c r="A14" s="40" t="str">
        <f>Dados!B14</f>
        <v>DERBY</v>
      </c>
      <c r="B14" s="40" t="str">
        <f>Dados!C14</f>
        <v>OLINDA</v>
      </c>
      <c r="G14" s="40">
        <v>16.0</v>
      </c>
      <c r="Q14" s="40">
        <f>HLOOKUP($A$1,Dados!$D$2:$S$14,F12,0)</f>
        <v>246</v>
      </c>
    </row>
    <row r="15" ht="12.75" customHeight="1">
      <c r="G15" s="40">
        <v>17.0</v>
      </c>
    </row>
    <row r="16" ht="12.75" customHeight="1">
      <c r="G16" s="40">
        <v>18.0</v>
      </c>
    </row>
    <row r="17" ht="12.75" customHeight="1">
      <c r="G17" s="40">
        <v>19.0</v>
      </c>
    </row>
    <row r="18" ht="12.75" customHeight="1">
      <c r="G18" s="40" t="s">
        <v>20</v>
      </c>
    </row>
    <row r="19" ht="12.75" customHeight="1">
      <c r="G19" s="41" t="s">
        <v>21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15" width="6.38"/>
  </cols>
  <sheetData>
    <row r="1" ht="12.75" customHeight="1">
      <c r="A1" s="42" t="s">
        <v>52</v>
      </c>
    </row>
    <row r="2" ht="12.75" customHeight="1">
      <c r="A2" s="43" t="s">
        <v>53</v>
      </c>
      <c r="B2" s="44">
        <f>Dados!D2</f>
        <v>6</v>
      </c>
      <c r="C2" s="44">
        <f>Dados!E2</f>
        <v>7</v>
      </c>
      <c r="D2" s="44">
        <f>Dados!F2</f>
        <v>8</v>
      </c>
      <c r="E2" s="44">
        <f>Dados!G2</f>
        <v>9</v>
      </c>
      <c r="F2" s="44">
        <f>Dados!H2</f>
        <v>10</v>
      </c>
      <c r="G2" s="44">
        <f>Dados!I2</f>
        <v>11</v>
      </c>
      <c r="H2" s="44">
        <f>Dados!J2</f>
        <v>12</v>
      </c>
      <c r="I2" s="44">
        <f>Dados!K2</f>
        <v>13</v>
      </c>
      <c r="J2" s="44">
        <f>Dados!L2</f>
        <v>14</v>
      </c>
      <c r="K2" s="44">
        <f>Dados!M2</f>
        <v>15</v>
      </c>
      <c r="L2" s="44">
        <f>Dados!N2</f>
        <v>16</v>
      </c>
      <c r="M2" s="44">
        <f>Dados!O2</f>
        <v>17</v>
      </c>
      <c r="N2" s="44">
        <f>Dados!P2</f>
        <v>18</v>
      </c>
      <c r="O2" s="44">
        <f>Dados!Q2</f>
        <v>19</v>
      </c>
    </row>
    <row r="3" ht="12.75" customHeight="1">
      <c r="A3" s="45" t="s">
        <v>54</v>
      </c>
      <c r="B3" s="46">
        <f>Dados!D15-B4-B5</f>
        <v>121</v>
      </c>
      <c r="C3" s="46">
        <f>Dados!E15-C4-C5</f>
        <v>162</v>
      </c>
      <c r="D3" s="46">
        <f>Dados!F15-D4-D5</f>
        <v>103</v>
      </c>
      <c r="E3" s="46">
        <f>Dados!G15-E4-E5</f>
        <v>101</v>
      </c>
      <c r="F3" s="46">
        <f>Dados!H15-F4-F5</f>
        <v>77</v>
      </c>
      <c r="G3" s="46">
        <f>Dados!I15-G4-G5</f>
        <v>105</v>
      </c>
      <c r="H3" s="46">
        <f>Dados!J15-H4-H5</f>
        <v>81</v>
      </c>
      <c r="I3" s="46">
        <f>Dados!K15-I4-I5</f>
        <v>100</v>
      </c>
      <c r="J3" s="46">
        <f>Dados!L15-J4-J5</f>
        <v>92</v>
      </c>
      <c r="K3" s="46">
        <f>Dados!M15-K4-K5</f>
        <v>135</v>
      </c>
      <c r="L3" s="46">
        <f>Dados!N15-L4-L5</f>
        <v>181</v>
      </c>
      <c r="M3" s="46">
        <f>Dados!O15-M4-M5</f>
        <v>287</v>
      </c>
      <c r="N3" s="46">
        <f>Dados!P15-N4-N5</f>
        <v>198</v>
      </c>
      <c r="O3" s="46">
        <f>Dados!Q15-O4-O5</f>
        <v>100</v>
      </c>
    </row>
    <row r="4" ht="12.75" customHeight="1">
      <c r="A4" s="43" t="s">
        <v>55</v>
      </c>
      <c r="B4" s="44">
        <f>Dados!D20</f>
        <v>5</v>
      </c>
      <c r="C4" s="44">
        <f>Dados!E20</f>
        <v>12</v>
      </c>
      <c r="D4" s="44">
        <f>Dados!F20</f>
        <v>17</v>
      </c>
      <c r="E4" s="44">
        <f>Dados!G20</f>
        <v>3</v>
      </c>
      <c r="F4" s="44">
        <f>Dados!H20</f>
        <v>8</v>
      </c>
      <c r="G4" s="44">
        <f>Dados!I20</f>
        <v>7</v>
      </c>
      <c r="H4" s="44">
        <f>Dados!J20</f>
        <v>12</v>
      </c>
      <c r="I4" s="44">
        <f>Dados!K20</f>
        <v>5</v>
      </c>
      <c r="J4" s="47">
        <f>Dados!L20</f>
        <v>9</v>
      </c>
      <c r="K4" s="44">
        <f>Dados!M20</f>
        <v>10</v>
      </c>
      <c r="L4" s="44">
        <f>Dados!N20</f>
        <v>26</v>
      </c>
      <c r="M4" s="44">
        <f>Dados!O20</f>
        <v>19</v>
      </c>
      <c r="N4" s="44">
        <f>Dados!P20</f>
        <v>12</v>
      </c>
      <c r="O4" s="44">
        <f>Dados!Q20</f>
        <v>11</v>
      </c>
    </row>
    <row r="5" ht="12.75" customHeight="1">
      <c r="A5" s="45" t="s">
        <v>10</v>
      </c>
      <c r="B5" s="48">
        <f>Dados!D21</f>
        <v>0</v>
      </c>
      <c r="C5" s="48">
        <f>Dados!E21</f>
        <v>0</v>
      </c>
      <c r="D5" s="48">
        <f>Dados!F21</f>
        <v>0</v>
      </c>
      <c r="E5" s="48">
        <f>Dados!G21</f>
        <v>0</v>
      </c>
      <c r="F5" s="48">
        <f>Dados!H21</f>
        <v>0</v>
      </c>
      <c r="G5" s="48">
        <f>Dados!I21</f>
        <v>0</v>
      </c>
      <c r="H5" s="48">
        <f>Dados!J21</f>
        <v>3</v>
      </c>
      <c r="I5" s="48">
        <f>Dados!K21</f>
        <v>2</v>
      </c>
      <c r="J5" s="48">
        <f>Dados!L21</f>
        <v>0</v>
      </c>
      <c r="K5" s="48">
        <f>Dados!M21</f>
        <v>0</v>
      </c>
      <c r="L5" s="48">
        <f>Dados!N21</f>
        <v>2</v>
      </c>
      <c r="M5" s="48">
        <f>Dados!O21</f>
        <v>5</v>
      </c>
      <c r="N5" s="48">
        <f>Dados!P21</f>
        <v>0</v>
      </c>
      <c r="O5" s="48">
        <f>Dados!Q21</f>
        <v>2</v>
      </c>
    </row>
    <row r="6" ht="12.75" customHeight="1"/>
    <row r="7" ht="12.75" customHeight="1">
      <c r="A7" s="49" t="s">
        <v>56</v>
      </c>
    </row>
    <row r="8" ht="12.75" customHeight="1">
      <c r="A8" s="43" t="s">
        <v>57</v>
      </c>
      <c r="B8" s="44">
        <v>6.0</v>
      </c>
      <c r="C8" s="44">
        <v>7.0</v>
      </c>
      <c r="D8" s="44">
        <v>8.0</v>
      </c>
      <c r="E8" s="44">
        <v>9.0</v>
      </c>
      <c r="F8" s="44">
        <v>10.0</v>
      </c>
      <c r="G8" s="44">
        <v>11.0</v>
      </c>
      <c r="H8" s="44">
        <v>12.0</v>
      </c>
      <c r="I8" s="44">
        <v>13.0</v>
      </c>
      <c r="J8" s="44">
        <v>14.0</v>
      </c>
      <c r="K8" s="44">
        <v>15.0</v>
      </c>
      <c r="L8" s="44">
        <v>16.0</v>
      </c>
      <c r="M8" s="44">
        <v>17.0</v>
      </c>
      <c r="N8" s="44">
        <v>18.0</v>
      </c>
      <c r="O8" s="44">
        <v>19.0</v>
      </c>
    </row>
    <row r="9" ht="12.75" customHeight="1">
      <c r="A9" s="50" t="s">
        <v>55</v>
      </c>
      <c r="B9" s="51">
        <f>B4/Dados!D$15</f>
        <v>0.03968253968</v>
      </c>
      <c r="C9" s="51">
        <f>C4/Dados!E$15</f>
        <v>0.06896551724</v>
      </c>
      <c r="D9" s="51">
        <f>D4/Dados!F$15</f>
        <v>0.1416666667</v>
      </c>
      <c r="E9" s="51">
        <f>E4/Dados!G$15</f>
        <v>0.02884615385</v>
      </c>
      <c r="F9" s="51">
        <f>F4/Dados!H$15</f>
        <v>0.09411764706</v>
      </c>
      <c r="G9" s="51">
        <f>G4/Dados!I$15</f>
        <v>0.0625</v>
      </c>
      <c r="H9" s="51">
        <f>H4/Dados!J$15</f>
        <v>0.125</v>
      </c>
      <c r="I9" s="51">
        <f>I4/Dados!K$15</f>
        <v>0.04672897196</v>
      </c>
      <c r="J9" s="51">
        <f>J4/Dados!L$15</f>
        <v>0.08910891089</v>
      </c>
      <c r="K9" s="51">
        <f>K4/Dados!M$15</f>
        <v>0.06896551724</v>
      </c>
      <c r="L9" s="51">
        <f>L4/Dados!N$15</f>
        <v>0.1244019139</v>
      </c>
      <c r="M9" s="51">
        <f>M4/Dados!O$15</f>
        <v>0.06109324759</v>
      </c>
      <c r="N9" s="51">
        <f>N4/Dados!P$15</f>
        <v>0.05714285714</v>
      </c>
      <c r="O9" s="51">
        <f>O4/Dados!Q$15</f>
        <v>0.09734513274</v>
      </c>
    </row>
    <row r="10" ht="12.75" customHeight="1">
      <c r="A10" s="43" t="s">
        <v>10</v>
      </c>
      <c r="B10" s="52">
        <f>B5/Dados!D$15</f>
        <v>0</v>
      </c>
      <c r="C10" s="52">
        <f>C5/Dados!E$15</f>
        <v>0</v>
      </c>
      <c r="D10" s="52">
        <f>D5/Dados!F$15</f>
        <v>0</v>
      </c>
      <c r="E10" s="52">
        <f>E5/Dados!G$15</f>
        <v>0</v>
      </c>
      <c r="F10" s="52">
        <f>F5/Dados!H$15</f>
        <v>0</v>
      </c>
      <c r="G10" s="52">
        <f>G5/Dados!I$15</f>
        <v>0</v>
      </c>
      <c r="H10" s="52">
        <f>H5/Dados!J$15</f>
        <v>0.03125</v>
      </c>
      <c r="I10" s="52">
        <f>I5/Dados!K$15</f>
        <v>0.01869158879</v>
      </c>
      <c r="J10" s="52">
        <f>J5/Dados!L$15</f>
        <v>0</v>
      </c>
      <c r="K10" s="52">
        <f>K5/Dados!M$15</f>
        <v>0</v>
      </c>
      <c r="L10" s="52">
        <f>L5/Dados!N$15</f>
        <v>0.00956937799</v>
      </c>
      <c r="M10" s="52">
        <f>M5/Dados!O$15</f>
        <v>0.01607717042</v>
      </c>
      <c r="N10" s="52">
        <f>N5/Dados!P$15</f>
        <v>0</v>
      </c>
      <c r="O10" s="52">
        <f>O5/Dados!Q$15</f>
        <v>0.01769911504</v>
      </c>
    </row>
    <row r="11" ht="12.75" customHeight="1"/>
    <row r="12" ht="12.75" customHeight="1">
      <c r="A12" s="53" t="str">
        <f>Dados!C19</f>
        <v>Característica</v>
      </c>
      <c r="B12" s="54" t="str">
        <f>Dados!S19</f>
        <v>%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ht="12.75" customHeight="1">
      <c r="A13" s="53" t="str">
        <f>Dados!C20</f>
        <v>Mulher</v>
      </c>
      <c r="B13" s="54">
        <f>Dados!S20</f>
        <v>0.07749627422</v>
      </c>
    </row>
    <row r="14" ht="12.75" customHeight="1">
      <c r="A14" s="53" t="str">
        <f>Dados!C21</f>
        <v>Crianças e adolescentes</v>
      </c>
      <c r="B14" s="54">
        <f>Dados!S21</f>
        <v>0.00695479384</v>
      </c>
    </row>
    <row r="15" ht="12.75" customHeight="1">
      <c r="A15" s="53" t="str">
        <f>Dados!C22</f>
        <v>Capacete</v>
      </c>
      <c r="B15" s="54">
        <f>Dados!S22</f>
        <v>0.09438648783</v>
      </c>
    </row>
    <row r="16" ht="12.75" customHeight="1">
      <c r="A16" s="53" t="s">
        <v>12</v>
      </c>
      <c r="B16" s="54">
        <f>SUM(Dados!S32:S34)</f>
        <v>0.01341281669</v>
      </c>
    </row>
    <row r="17" ht="12.75" customHeight="1">
      <c r="A17" s="53" t="str">
        <f>Dados!C35</f>
        <v>Cargueira tradicional</v>
      </c>
      <c r="B17" s="54">
        <f>Dados!S35</f>
        <v>0.06060606061</v>
      </c>
    </row>
    <row r="18" ht="12.75" customHeight="1">
      <c r="A18" s="53" t="str">
        <f>Dados!C37</f>
        <v>Serviço</v>
      </c>
      <c r="B18" s="54">
        <f>Dados!S37</f>
        <v>0.01142573274</v>
      </c>
    </row>
    <row r="19" ht="12.75" customHeight="1">
      <c r="A19" s="53" t="str">
        <f>Dados!C39</f>
        <v>Contramão</v>
      </c>
      <c r="B19" s="54">
        <f>Dados!S39</f>
        <v>0.0521609538</v>
      </c>
    </row>
    <row r="20" ht="12.75" customHeight="1">
      <c r="A20" s="53" t="str">
        <f>Dados!C27</f>
        <v>Calçada</v>
      </c>
      <c r="B20" s="54">
        <f>Dados!S27</f>
        <v>0.08445106806</v>
      </c>
    </row>
    <row r="21" ht="12.75" customHeight="1">
      <c r="A21" s="55"/>
      <c r="B21" s="55"/>
    </row>
    <row r="22" ht="12.75" customHeight="1">
      <c r="A22" s="55"/>
      <c r="B22" s="55"/>
    </row>
    <row r="23" ht="12.75" customHeight="1">
      <c r="A23" s="55"/>
      <c r="B23" s="55"/>
    </row>
    <row r="24" ht="12.75" customHeight="1">
      <c r="A24" s="55"/>
      <c r="B24" s="55"/>
    </row>
    <row r="25" ht="12.75" customHeight="1">
      <c r="A25" s="55"/>
      <c r="B25" s="55"/>
    </row>
    <row r="26" ht="12.75" customHeight="1">
      <c r="A26" s="55"/>
      <c r="B26" s="55"/>
    </row>
    <row r="27" ht="12.75" customHeight="1">
      <c r="A27" s="55"/>
      <c r="B27" s="55"/>
    </row>
    <row r="28" ht="12.75" customHeight="1">
      <c r="A28" s="55"/>
      <c r="B28" s="55"/>
    </row>
    <row r="29" ht="12.75" customHeight="1">
      <c r="A29" s="55"/>
      <c r="B29" s="55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6" t="s">
        <v>58</v>
      </c>
      <c r="B1" s="57"/>
      <c r="C1" s="58"/>
      <c r="D1" s="59"/>
      <c r="E1" s="60" t="s">
        <v>22</v>
      </c>
      <c r="F1" s="57"/>
      <c r="G1" s="58"/>
      <c r="H1" s="59"/>
      <c r="I1" s="59"/>
      <c r="J1" s="59"/>
      <c r="K1" s="59"/>
    </row>
    <row r="2" ht="22.5" customHeight="1">
      <c r="A2" s="56" t="s">
        <v>20</v>
      </c>
      <c r="B2" s="57"/>
      <c r="C2" s="58"/>
      <c r="D2" s="59"/>
      <c r="E2" s="61">
        <f>SUM(E3:G3)</f>
        <v>100</v>
      </c>
      <c r="F2" s="57"/>
      <c r="G2" s="58"/>
      <c r="H2" s="59"/>
      <c r="I2" s="59"/>
      <c r="J2" s="59"/>
      <c r="K2" s="59"/>
    </row>
    <row r="3" ht="22.5" customHeight="1">
      <c r="A3" s="62"/>
      <c r="B3" s="62"/>
      <c r="C3" s="62"/>
      <c r="D3" s="63"/>
      <c r="E3" s="64">
        <f>CONFFLUXO!Q3</f>
        <v>50</v>
      </c>
      <c r="F3" s="64">
        <f>CONFFLUXO!Q4</f>
        <v>25</v>
      </c>
      <c r="G3" s="64">
        <f>CONFFLUXO!Q5</f>
        <v>25</v>
      </c>
      <c r="H3" s="59"/>
      <c r="I3" s="59"/>
      <c r="J3" s="59"/>
      <c r="K3" s="59"/>
    </row>
    <row r="4" ht="25.5" customHeight="1">
      <c r="A4" s="65"/>
      <c r="B4" s="65"/>
      <c r="C4" s="62"/>
      <c r="D4" s="62"/>
      <c r="E4" s="59"/>
      <c r="F4" s="59"/>
      <c r="G4" s="59"/>
      <c r="H4" s="66"/>
      <c r="I4" s="66"/>
      <c r="J4" s="67"/>
      <c r="K4" s="67"/>
    </row>
    <row r="5" ht="71.25" customHeight="1">
      <c r="A5" s="68" t="s">
        <v>25</v>
      </c>
      <c r="B5" s="69">
        <f>SUM(C5:C7)</f>
        <v>803</v>
      </c>
      <c r="C5" s="70">
        <f>CONFFLUXO!Q14</f>
        <v>246</v>
      </c>
      <c r="D5" s="62"/>
      <c r="E5" s="59"/>
      <c r="F5" s="59"/>
      <c r="G5" s="59"/>
      <c r="H5" s="66"/>
      <c r="I5" s="71">
        <f>CONFFLUXO!Q6</f>
        <v>26</v>
      </c>
      <c r="J5" s="72">
        <f>SUM(I5:I7)</f>
        <v>516</v>
      </c>
      <c r="K5" s="73" t="s">
        <v>23</v>
      </c>
    </row>
    <row r="6" ht="71.25" customHeight="1">
      <c r="A6" s="74"/>
      <c r="B6" s="74"/>
      <c r="C6" s="70">
        <f>CONFFLUXO!Q13</f>
        <v>551</v>
      </c>
      <c r="D6" s="62"/>
      <c r="E6" s="59"/>
      <c r="F6" s="75">
        <f>SUM(E3:G3,I5:I7,E9:G9,C5:C7)</f>
        <v>2013</v>
      </c>
      <c r="G6" s="59"/>
      <c r="H6" s="66"/>
      <c r="I6" s="71">
        <f>CONFFLUXO!Q7</f>
        <v>474</v>
      </c>
      <c r="J6" s="74"/>
      <c r="K6" s="74"/>
    </row>
    <row r="7" ht="71.25" customHeight="1">
      <c r="A7" s="76"/>
      <c r="B7" s="76"/>
      <c r="C7" s="70">
        <f>CONFFLUXO!Q12</f>
        <v>6</v>
      </c>
      <c r="D7" s="62"/>
      <c r="E7" s="59"/>
      <c r="F7" s="59"/>
      <c r="G7" s="59"/>
      <c r="H7" s="66"/>
      <c r="I7" s="71">
        <f>CONFFLUXO!Q8</f>
        <v>16</v>
      </c>
      <c r="J7" s="76"/>
      <c r="K7" s="76"/>
    </row>
    <row r="8" ht="27.0" customHeight="1">
      <c r="A8" s="62"/>
      <c r="B8" s="62"/>
      <c r="C8" s="62"/>
      <c r="D8" s="62"/>
      <c r="E8" s="59"/>
      <c r="F8" s="59"/>
      <c r="G8" s="59"/>
      <c r="H8" s="59"/>
      <c r="I8" s="59"/>
      <c r="J8" s="59"/>
      <c r="K8" s="59"/>
    </row>
    <row r="9" ht="22.5" customHeight="1">
      <c r="A9" s="62"/>
      <c r="B9" s="62"/>
      <c r="C9" s="77"/>
      <c r="D9" s="77"/>
      <c r="E9" s="78">
        <f>CONFFLUXO!Q11</f>
        <v>74</v>
      </c>
      <c r="F9" s="78">
        <f>CONFFLUXO!Q10</f>
        <v>483</v>
      </c>
      <c r="G9" s="78">
        <f>CONFFLUXO!Q9</f>
        <v>37</v>
      </c>
      <c r="H9" s="59"/>
      <c r="I9" s="59"/>
      <c r="J9" s="59"/>
      <c r="K9" s="59"/>
    </row>
    <row r="10" ht="22.5" customHeight="1">
      <c r="A10" s="62"/>
      <c r="B10" s="62"/>
      <c r="C10" s="62"/>
      <c r="D10" s="62"/>
      <c r="E10" s="61">
        <f>SUM(E9:G9)</f>
        <v>594</v>
      </c>
      <c r="F10" s="57"/>
      <c r="G10" s="58"/>
      <c r="H10" s="59"/>
      <c r="I10" s="59"/>
      <c r="J10" s="59"/>
      <c r="K10" s="59"/>
    </row>
    <row r="11" ht="22.5" customHeight="1">
      <c r="A11" s="62"/>
      <c r="B11" s="62"/>
      <c r="C11" s="62"/>
      <c r="D11" s="62"/>
      <c r="E11" s="60" t="s">
        <v>24</v>
      </c>
      <c r="F11" s="57"/>
      <c r="G11" s="58"/>
      <c r="H11" s="59"/>
      <c r="I11" s="59"/>
      <c r="J11" s="59"/>
      <c r="K11" s="79">
        <f>MAX(3:3,I:I,9:9,C:C)</f>
        <v>551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1" t="s">
        <v>59</v>
      </c>
      <c r="B1" s="6"/>
    </row>
    <row r="2" ht="12.75" customHeight="1">
      <c r="A2" s="1" t="s">
        <v>60</v>
      </c>
      <c r="B2" s="6"/>
    </row>
    <row r="3" ht="12.75" customHeight="1">
      <c r="A3" s="1" t="s">
        <v>61</v>
      </c>
      <c r="B3" s="6"/>
    </row>
    <row r="4" ht="12.75" customHeight="1">
      <c r="A4" s="1" t="s">
        <v>62</v>
      </c>
      <c r="B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