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<sst xmlns="http://schemas.openxmlformats.org/spreadsheetml/2006/main" count="107" uniqueCount="62">
  <si>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</si>
  <si>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Rodovia Tronco (PE 009) x R. do Colégio | Ipojuca</t>
  </si>
  <si>
    <t>Data</t>
  </si>
  <si>
    <t>Coordenadas Geográficas</t>
  </si>
  <si>
    <t>-8.437142, -35.012646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</si>
  <si>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</si>
  <si>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</si>
  <si>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</si>
  <si>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</si>
  <si>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</si>
  <si>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</si>
  <si>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</si>
  <si>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</si>
  <si>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</si>
  <si>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</si>
  <si>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</si>
  <si>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</si>
  <si>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</si>
  <si>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</si>
  <si>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</si>
  <si>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</si>
  <si>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</si>
  <si>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Usina Salgado</t>
  </si>
  <si>
    <t>Ipojuca</t>
  </si>
  <si>
    <t>Rua do Colégio</t>
  </si>
  <si>
    <t>Porto de Galinhas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</si>
  <si>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</si>
  <si>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</si>
  <si>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</si>
  <si>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</si>
  <si>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</si>
  <si>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</si>
  <si>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</si>
  <si>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</si>
  <si>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</si>
  <si>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</si>
  <si>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</si>
  <si>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</si>
  <si>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</si>
  <si>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</si>
  <si>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</si>
  <si>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</si>
  <si>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</si>
  <si>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</si>
  <si>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</si>
  <si>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</si>
  <si>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</si>
  <si>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</si>
  <si>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</si>
  <si>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</si>
  <si>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Uso da ciclovia existente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</si>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</sst>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411530173"/>
        <c:axId val="427543901"/>
      </c:barChart>
      <c:catAx>
        <c:axId val="411530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7543901"/>
      </c:catAx>
      <c:valAx>
        <c:axId val="42754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1530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843535140"/>
        <c:axId val="614290024"/>
      </c:barChart>
      <c:catAx>
        <c:axId val="843535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4290024"/>
      </c:catAx>
      <c:valAx>
        <c:axId val="614290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3535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001223063"/>
        <c:axId val="134329859"/>
      </c:barChart>
      <c:catAx>
        <c:axId val="10012230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329859"/>
      </c:catAx>
      <c:valAx>
        <c:axId val="1343298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12230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46148.0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2416</v>
      </c>
    </row>
    <row r="6">
      <c r="A6" s="4" t="s">
        <v>7</v>
      </c>
      <c r="B6" s="7">
        <f>MAX(Dados!D15:Q15)</f>
        <v>297</v>
      </c>
    </row>
    <row r="7">
      <c r="A7" s="4" t="s">
        <v>8</v>
      </c>
      <c r="B7" s="8">
        <f>Dados!S20</f>
        <v>0.1970198675</v>
      </c>
    </row>
    <row r="8">
      <c r="A8" s="4" t="s">
        <v>9</v>
      </c>
      <c r="B8" s="8">
        <f>Dados!S21</f>
        <v>0.09064569536</v>
      </c>
    </row>
    <row r="9">
      <c r="A9" s="4" t="s">
        <v>10</v>
      </c>
      <c r="B9" s="8">
        <f>Dados!S22</f>
        <v>0.00869205298</v>
      </c>
    </row>
    <row r="10">
      <c r="A10" s="4" t="s">
        <v>11</v>
      </c>
      <c r="B10" s="8">
        <f>Dados!S51</f>
        <v>0.06622516556</v>
      </c>
    </row>
    <row r="11">
      <c r="A11" s="4" t="s">
        <v>12</v>
      </c>
      <c r="B11" s="8">
        <f>Dados!S52</f>
        <v>0.1072019868</v>
      </c>
    </row>
    <row r="12">
      <c r="A12" s="4" t="s">
        <v>13</v>
      </c>
      <c r="B12" s="8">
        <f>Dados!S53</f>
        <v>0.006208609272</v>
      </c>
    </row>
    <row r="13">
      <c r="A13" s="4" t="s">
        <v>14</v>
      </c>
      <c r="B13" s="8">
        <f>Dados!S54</f>
        <v>0.1345198675</v>
      </c>
    </row>
    <row r="14">
      <c r="A14" s="4" t="s">
        <v>15</v>
      </c>
      <c r="B14" s="8">
        <f>Dados!S32</f>
        <v>0.119205298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6.7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19.0</v>
      </c>
      <c r="E3" s="14">
        <v>20.0</v>
      </c>
      <c r="F3" s="14">
        <v>9.0</v>
      </c>
      <c r="G3" s="14">
        <v>8.0</v>
      </c>
      <c r="H3" s="14">
        <v>13.0</v>
      </c>
      <c r="I3" s="14">
        <v>21.0</v>
      </c>
      <c r="J3" s="14">
        <v>13.0</v>
      </c>
      <c r="K3" s="14">
        <v>20.0</v>
      </c>
      <c r="L3" s="14">
        <v>16.0</v>
      </c>
      <c r="M3" s="14">
        <v>13.0</v>
      </c>
      <c r="N3" s="14">
        <v>12.0</v>
      </c>
      <c r="O3" s="15">
        <v>19.0</v>
      </c>
      <c r="P3" s="15">
        <v>9.0</v>
      </c>
      <c r="Q3" s="14">
        <v>14.0</v>
      </c>
      <c r="R3" s="16">
        <f t="shared" ref="R3:R14" si="1">SUM(D3:Q3)</f>
        <v>206</v>
      </c>
      <c r="S3" s="17">
        <f t="shared" ref="S3:S14" si="2">R3/$R$15</f>
        <v>0.08526490066</v>
      </c>
    </row>
    <row r="4" ht="14.25" customHeight="1">
      <c r="A4" s="9"/>
      <c r="B4" s="14" t="s">
        <v>22</v>
      </c>
      <c r="C4" s="14" t="s">
        <v>24</v>
      </c>
      <c r="D4" s="14">
        <v>37.0</v>
      </c>
      <c r="E4" s="14">
        <v>40.0</v>
      </c>
      <c r="F4" s="14">
        <v>29.0</v>
      </c>
      <c r="G4" s="14">
        <v>22.0</v>
      </c>
      <c r="H4" s="14">
        <v>28.0</v>
      </c>
      <c r="I4" s="14">
        <v>29.0</v>
      </c>
      <c r="J4" s="14">
        <v>27.0</v>
      </c>
      <c r="K4" s="14">
        <v>36.0</v>
      </c>
      <c r="L4" s="14">
        <v>23.0</v>
      </c>
      <c r="M4" s="14">
        <v>22.0</v>
      </c>
      <c r="N4" s="14">
        <v>36.0</v>
      </c>
      <c r="O4" s="15">
        <v>39.0</v>
      </c>
      <c r="P4" s="15">
        <v>23.0</v>
      </c>
      <c r="Q4" s="14">
        <v>16.0</v>
      </c>
      <c r="R4" s="16">
        <f t="shared" si="1"/>
        <v>407</v>
      </c>
      <c r="S4" s="17">
        <f t="shared" si="2"/>
        <v>0.1684602649</v>
      </c>
    </row>
    <row r="5" ht="14.25" customHeight="1">
      <c r="A5" s="9"/>
      <c r="B5" s="14" t="s">
        <v>22</v>
      </c>
      <c r="C5" s="14" t="s">
        <v>25</v>
      </c>
      <c r="D5" s="14">
        <v>14.0</v>
      </c>
      <c r="E5" s="14">
        <v>9.0</v>
      </c>
      <c r="F5" s="14">
        <v>3.0</v>
      </c>
      <c r="G5" s="14">
        <v>3.0</v>
      </c>
      <c r="H5" s="14">
        <v>2.0</v>
      </c>
      <c r="I5" s="14">
        <v>1.0</v>
      </c>
      <c r="J5" s="14">
        <v>5.0</v>
      </c>
      <c r="K5" s="14">
        <v>1.0</v>
      </c>
      <c r="L5" s="14">
        <v>3.0</v>
      </c>
      <c r="M5" s="14">
        <v>2.0</v>
      </c>
      <c r="N5" s="14">
        <v>6.0</v>
      </c>
      <c r="O5" s="15">
        <v>2.0</v>
      </c>
      <c r="P5" s="15">
        <v>1.0</v>
      </c>
      <c r="Q5" s="14">
        <v>0.0</v>
      </c>
      <c r="R5" s="16">
        <f t="shared" si="1"/>
        <v>52</v>
      </c>
      <c r="S5" s="17">
        <f t="shared" si="2"/>
        <v>0.02152317881</v>
      </c>
    </row>
    <row r="6" ht="14.25" customHeight="1">
      <c r="A6" s="9"/>
      <c r="B6" s="14" t="s">
        <v>25</v>
      </c>
      <c r="C6" s="14" t="s">
        <v>22</v>
      </c>
      <c r="D6" s="14">
        <v>5.0</v>
      </c>
      <c r="E6" s="14">
        <v>6.0</v>
      </c>
      <c r="F6" s="14">
        <v>4.0</v>
      </c>
      <c r="G6" s="14">
        <v>1.0</v>
      </c>
      <c r="H6" s="14">
        <v>5.0</v>
      </c>
      <c r="I6" s="14">
        <v>4.0</v>
      </c>
      <c r="J6" s="14">
        <v>1.0</v>
      </c>
      <c r="K6" s="14">
        <v>3.0</v>
      </c>
      <c r="L6" s="14">
        <v>2.0</v>
      </c>
      <c r="M6" s="14">
        <v>4.0</v>
      </c>
      <c r="N6" s="14">
        <v>10.0</v>
      </c>
      <c r="O6" s="15">
        <v>9.0</v>
      </c>
      <c r="P6" s="15">
        <v>7.0</v>
      </c>
      <c r="Q6" s="14">
        <v>3.0</v>
      </c>
      <c r="R6" s="16">
        <f t="shared" si="1"/>
        <v>64</v>
      </c>
      <c r="S6" s="17">
        <f t="shared" si="2"/>
        <v>0.02649006623</v>
      </c>
    </row>
    <row r="7" ht="14.25" customHeight="1">
      <c r="A7" s="9"/>
      <c r="B7" s="14" t="s">
        <v>25</v>
      </c>
      <c r="C7" s="14" t="s">
        <v>23</v>
      </c>
      <c r="D7" s="14">
        <v>17.0</v>
      </c>
      <c r="E7" s="14">
        <v>17.0</v>
      </c>
      <c r="F7" s="14">
        <v>9.0</v>
      </c>
      <c r="G7" s="14">
        <v>7.0</v>
      </c>
      <c r="H7" s="14">
        <v>11.0</v>
      </c>
      <c r="I7" s="14">
        <v>16.0</v>
      </c>
      <c r="J7" s="14">
        <v>11.0</v>
      </c>
      <c r="K7" s="14">
        <v>15.0</v>
      </c>
      <c r="L7" s="14">
        <v>13.0</v>
      </c>
      <c r="M7" s="14">
        <v>17.0</v>
      </c>
      <c r="N7" s="14">
        <v>30.0</v>
      </c>
      <c r="O7" s="15">
        <v>60.0</v>
      </c>
      <c r="P7" s="15">
        <v>25.0</v>
      </c>
      <c r="Q7" s="14">
        <v>14.0</v>
      </c>
      <c r="R7" s="16">
        <f t="shared" si="1"/>
        <v>262</v>
      </c>
      <c r="S7" s="17">
        <f t="shared" si="2"/>
        <v>0.1084437086</v>
      </c>
    </row>
    <row r="8" ht="14.25" customHeight="1">
      <c r="A8" s="9"/>
      <c r="B8" s="14" t="s">
        <v>25</v>
      </c>
      <c r="C8" s="14" t="s">
        <v>24</v>
      </c>
      <c r="D8" s="14">
        <v>2.0</v>
      </c>
      <c r="E8" s="14">
        <v>3.0</v>
      </c>
      <c r="F8" s="14">
        <v>2.0</v>
      </c>
      <c r="G8" s="14">
        <v>1.0</v>
      </c>
      <c r="H8" s="14">
        <v>1.0</v>
      </c>
      <c r="I8" s="14">
        <v>3.0</v>
      </c>
      <c r="J8" s="14">
        <v>0.0</v>
      </c>
      <c r="K8" s="14">
        <v>0.0</v>
      </c>
      <c r="L8" s="14">
        <v>3.0</v>
      </c>
      <c r="M8" s="14">
        <v>11.0</v>
      </c>
      <c r="N8" s="14">
        <v>2.0</v>
      </c>
      <c r="O8" s="15">
        <v>10.0</v>
      </c>
      <c r="P8" s="15">
        <v>5.0</v>
      </c>
      <c r="Q8" s="14">
        <v>3.0</v>
      </c>
      <c r="R8" s="16">
        <f t="shared" si="1"/>
        <v>46</v>
      </c>
      <c r="S8" s="17">
        <f t="shared" si="2"/>
        <v>0.0190397351</v>
      </c>
    </row>
    <row r="9" ht="14.25" customHeight="1">
      <c r="A9" s="9"/>
      <c r="B9" s="14" t="s">
        <v>24</v>
      </c>
      <c r="C9" s="14" t="s">
        <v>25</v>
      </c>
      <c r="D9" s="14">
        <v>3.0</v>
      </c>
      <c r="E9" s="14">
        <v>2.0</v>
      </c>
      <c r="F9" s="14">
        <v>3.0</v>
      </c>
      <c r="G9" s="14">
        <v>3.0</v>
      </c>
      <c r="H9" s="14">
        <v>5.0</v>
      </c>
      <c r="I9" s="14">
        <v>1.0</v>
      </c>
      <c r="J9" s="14">
        <v>1.0</v>
      </c>
      <c r="K9" s="14">
        <v>2.0</v>
      </c>
      <c r="L9" s="14">
        <v>4.0</v>
      </c>
      <c r="M9" s="14">
        <v>5.0</v>
      </c>
      <c r="N9" s="14">
        <v>4.0</v>
      </c>
      <c r="O9" s="15">
        <v>10.0</v>
      </c>
      <c r="P9" s="15">
        <v>3.0</v>
      </c>
      <c r="Q9" s="14">
        <v>3.0</v>
      </c>
      <c r="R9" s="16">
        <f t="shared" si="1"/>
        <v>49</v>
      </c>
      <c r="S9" s="17">
        <f t="shared" si="2"/>
        <v>0.02028145695</v>
      </c>
    </row>
    <row r="10" ht="14.25" customHeight="1">
      <c r="A10" s="9"/>
      <c r="B10" s="14" t="s">
        <v>24</v>
      </c>
      <c r="C10" s="14" t="s">
        <v>22</v>
      </c>
      <c r="D10" s="14">
        <v>17.0</v>
      </c>
      <c r="E10" s="14">
        <v>30.0</v>
      </c>
      <c r="F10" s="14">
        <v>15.0</v>
      </c>
      <c r="G10" s="14">
        <v>25.0</v>
      </c>
      <c r="H10" s="14">
        <v>27.0</v>
      </c>
      <c r="I10" s="14">
        <v>43.0</v>
      </c>
      <c r="J10" s="14">
        <v>19.0</v>
      </c>
      <c r="K10" s="14">
        <v>33.0</v>
      </c>
      <c r="L10" s="14">
        <v>22.0</v>
      </c>
      <c r="M10" s="14">
        <v>21.0</v>
      </c>
      <c r="N10" s="14">
        <v>49.0</v>
      </c>
      <c r="O10" s="15">
        <v>54.0</v>
      </c>
      <c r="P10" s="15">
        <v>35.0</v>
      </c>
      <c r="Q10" s="14">
        <v>16.0</v>
      </c>
      <c r="R10" s="16">
        <f t="shared" si="1"/>
        <v>406</v>
      </c>
      <c r="S10" s="17">
        <f t="shared" si="2"/>
        <v>0.1680463576</v>
      </c>
    </row>
    <row r="11" ht="14.25" customHeight="1">
      <c r="A11" s="9"/>
      <c r="B11" s="14" t="s">
        <v>24</v>
      </c>
      <c r="C11" s="14" t="s">
        <v>23</v>
      </c>
      <c r="D11" s="14">
        <v>9.0</v>
      </c>
      <c r="E11" s="14">
        <v>15.0</v>
      </c>
      <c r="F11" s="14">
        <v>10.0</v>
      </c>
      <c r="G11" s="14">
        <v>12.0</v>
      </c>
      <c r="H11" s="14">
        <v>10.0</v>
      </c>
      <c r="I11" s="14">
        <v>19.0</v>
      </c>
      <c r="J11" s="14">
        <v>10.0</v>
      </c>
      <c r="K11" s="14">
        <v>12.0</v>
      </c>
      <c r="L11" s="14">
        <v>32.0</v>
      </c>
      <c r="M11" s="14">
        <v>51.0</v>
      </c>
      <c r="N11" s="14">
        <v>29.0</v>
      </c>
      <c r="O11" s="15">
        <v>32.0</v>
      </c>
      <c r="P11" s="15">
        <v>21.0</v>
      </c>
      <c r="Q11" s="14">
        <v>34.0</v>
      </c>
      <c r="R11" s="16">
        <f t="shared" si="1"/>
        <v>296</v>
      </c>
      <c r="S11" s="17">
        <f t="shared" si="2"/>
        <v>0.1225165563</v>
      </c>
    </row>
    <row r="12" ht="14.25" customHeight="1">
      <c r="A12" s="9"/>
      <c r="B12" s="14" t="s">
        <v>23</v>
      </c>
      <c r="C12" s="14" t="s">
        <v>24</v>
      </c>
      <c r="D12" s="14">
        <v>12.0</v>
      </c>
      <c r="E12" s="14">
        <v>58.0</v>
      </c>
      <c r="F12" s="14">
        <v>18.0</v>
      </c>
      <c r="G12" s="14">
        <v>19.0</v>
      </c>
      <c r="H12" s="14">
        <v>22.0</v>
      </c>
      <c r="I12" s="14">
        <v>10.0</v>
      </c>
      <c r="J12" s="14">
        <v>9.0</v>
      </c>
      <c r="K12" s="14">
        <v>18.0</v>
      </c>
      <c r="L12" s="14">
        <v>19.0</v>
      </c>
      <c r="M12" s="14">
        <v>20.0</v>
      </c>
      <c r="N12" s="14">
        <v>28.0</v>
      </c>
      <c r="O12" s="15">
        <v>31.0</v>
      </c>
      <c r="P12" s="15">
        <v>22.0</v>
      </c>
      <c r="Q12" s="14">
        <v>8.0</v>
      </c>
      <c r="R12" s="16">
        <f t="shared" si="1"/>
        <v>294</v>
      </c>
      <c r="S12" s="17">
        <f t="shared" si="2"/>
        <v>0.1216887417</v>
      </c>
    </row>
    <row r="13" ht="14.25" customHeight="1">
      <c r="A13" s="9"/>
      <c r="B13" s="14" t="s">
        <v>23</v>
      </c>
      <c r="C13" s="14" t="s">
        <v>25</v>
      </c>
      <c r="D13" s="14">
        <v>37.0</v>
      </c>
      <c r="E13" s="14">
        <v>29.0</v>
      </c>
      <c r="F13" s="14">
        <v>16.0</v>
      </c>
      <c r="G13" s="14">
        <v>8.0</v>
      </c>
      <c r="H13" s="14">
        <v>12.0</v>
      </c>
      <c r="I13" s="14">
        <v>12.0</v>
      </c>
      <c r="J13" s="14">
        <v>6.0</v>
      </c>
      <c r="K13" s="14">
        <v>8.0</v>
      </c>
      <c r="L13" s="14">
        <v>4.0</v>
      </c>
      <c r="M13" s="14">
        <v>8.0</v>
      </c>
      <c r="N13" s="14">
        <v>12.0</v>
      </c>
      <c r="O13" s="15">
        <v>21.0</v>
      </c>
      <c r="P13" s="15">
        <v>7.0</v>
      </c>
      <c r="Q13" s="14">
        <v>5.0</v>
      </c>
      <c r="R13" s="16">
        <f t="shared" si="1"/>
        <v>185</v>
      </c>
      <c r="S13" s="17">
        <f t="shared" si="2"/>
        <v>0.07657284768</v>
      </c>
    </row>
    <row r="14" ht="14.25" customHeight="1">
      <c r="A14" s="9"/>
      <c r="B14" s="14" t="s">
        <v>23</v>
      </c>
      <c r="C14" s="14" t="s">
        <v>22</v>
      </c>
      <c r="D14" s="14">
        <v>13.0</v>
      </c>
      <c r="E14" s="14">
        <v>17.0</v>
      </c>
      <c r="F14" s="14">
        <v>11.0</v>
      </c>
      <c r="G14" s="14">
        <v>6.0</v>
      </c>
      <c r="H14" s="14">
        <v>7.0</v>
      </c>
      <c r="I14" s="14">
        <v>15.0</v>
      </c>
      <c r="J14" s="14">
        <v>13.0</v>
      </c>
      <c r="K14" s="14">
        <v>16.0</v>
      </c>
      <c r="L14" s="14">
        <v>11.0</v>
      </c>
      <c r="M14" s="14">
        <v>9.0</v>
      </c>
      <c r="N14" s="14">
        <v>9.0</v>
      </c>
      <c r="O14" s="15">
        <v>10.0</v>
      </c>
      <c r="P14" s="15">
        <v>9.0</v>
      </c>
      <c r="Q14" s="14">
        <v>3.0</v>
      </c>
      <c r="R14" s="16">
        <f t="shared" si="1"/>
        <v>149</v>
      </c>
      <c r="S14" s="17">
        <f t="shared" si="2"/>
        <v>0.06167218543</v>
      </c>
    </row>
    <row r="15" ht="14.25" customHeight="1">
      <c r="A15" s="9"/>
      <c r="B15" s="18"/>
      <c r="C15" s="18" t="s">
        <v>20</v>
      </c>
      <c r="D15" s="16">
        <f t="shared" ref="D15:Q15" si="3">SUM(D3:D14)</f>
        <v>185</v>
      </c>
      <c r="E15" s="16">
        <f t="shared" si="3"/>
        <v>246</v>
      </c>
      <c r="F15" s="16">
        <f t="shared" si="3"/>
        <v>129</v>
      </c>
      <c r="G15" s="16">
        <f t="shared" si="3"/>
        <v>115</v>
      </c>
      <c r="H15" s="16">
        <f t="shared" si="3"/>
        <v>143</v>
      </c>
      <c r="I15" s="16">
        <f t="shared" si="3"/>
        <v>174</v>
      </c>
      <c r="J15" s="16">
        <f t="shared" si="3"/>
        <v>115</v>
      </c>
      <c r="K15" s="16">
        <f t="shared" si="3"/>
        <v>164</v>
      </c>
      <c r="L15" s="16">
        <f t="shared" si="3"/>
        <v>152</v>
      </c>
      <c r="M15" s="16">
        <f t="shared" si="3"/>
        <v>183</v>
      </c>
      <c r="N15" s="16">
        <f t="shared" si="3"/>
        <v>227</v>
      </c>
      <c r="O15" s="16">
        <f t="shared" si="3"/>
        <v>297</v>
      </c>
      <c r="P15" s="16">
        <f t="shared" si="3"/>
        <v>167</v>
      </c>
      <c r="Q15" s="16">
        <f t="shared" si="3"/>
        <v>119</v>
      </c>
      <c r="R15" s="16">
        <f>SUM(R$3:R$14)</f>
        <v>2416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0.07657284768</v>
      </c>
      <c r="E16" s="20">
        <f t="shared" si="4"/>
        <v>0.1018211921</v>
      </c>
      <c r="F16" s="20">
        <f t="shared" si="4"/>
        <v>0.05339403974</v>
      </c>
      <c r="G16" s="20">
        <f t="shared" si="4"/>
        <v>0.04759933775</v>
      </c>
      <c r="H16" s="20">
        <f t="shared" si="4"/>
        <v>0.05918874172</v>
      </c>
      <c r="I16" s="20">
        <f t="shared" si="4"/>
        <v>0.07201986755</v>
      </c>
      <c r="J16" s="20">
        <f t="shared" si="4"/>
        <v>0.04759933775</v>
      </c>
      <c r="K16" s="20">
        <f t="shared" si="4"/>
        <v>0.0678807947</v>
      </c>
      <c r="L16" s="20">
        <f t="shared" si="4"/>
        <v>0.06291390728</v>
      </c>
      <c r="M16" s="20">
        <f t="shared" si="4"/>
        <v>0.07574503311</v>
      </c>
      <c r="N16" s="20">
        <f t="shared" si="4"/>
        <v>0.09395695364</v>
      </c>
      <c r="O16" s="20">
        <f t="shared" si="4"/>
        <v>0.1229304636</v>
      </c>
      <c r="P16" s="20">
        <f t="shared" si="4"/>
        <v>0.06912251656</v>
      </c>
      <c r="Q16" s="20">
        <f t="shared" si="4"/>
        <v>0.04925496689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28.0</v>
      </c>
      <c r="E20" s="32">
        <v>39.0</v>
      </c>
      <c r="F20" s="32">
        <v>35.0</v>
      </c>
      <c r="G20" s="32">
        <v>27.0</v>
      </c>
      <c r="H20" s="32">
        <v>27.0</v>
      </c>
      <c r="I20" s="32">
        <v>39.0</v>
      </c>
      <c r="J20" s="32">
        <v>21.0</v>
      </c>
      <c r="K20" s="32">
        <v>52.0</v>
      </c>
      <c r="L20" s="32">
        <v>29.0</v>
      </c>
      <c r="M20" s="32">
        <v>35.0</v>
      </c>
      <c r="N20" s="32">
        <v>50.0</v>
      </c>
      <c r="O20" s="32">
        <v>40.0</v>
      </c>
      <c r="P20" s="32">
        <v>33.0</v>
      </c>
      <c r="Q20" s="32">
        <v>21.0</v>
      </c>
      <c r="R20" s="28">
        <f t="shared" ref="R20:R32" si="5">SUM(D20:Q20)</f>
        <v>476</v>
      </c>
      <c r="S20" s="29">
        <f t="shared" ref="S20:S32" si="6">R20/$R$15</f>
        <v>0.1970198675</v>
      </c>
    </row>
    <row r="21" ht="14.25" customHeight="1">
      <c r="A21" s="30"/>
      <c r="B21" s="30"/>
      <c r="C21" s="33" t="s">
        <v>9</v>
      </c>
      <c r="D21" s="34">
        <v>16.0</v>
      </c>
      <c r="E21" s="34">
        <v>55.0</v>
      </c>
      <c r="F21" s="34">
        <v>4.0</v>
      </c>
      <c r="G21" s="34">
        <v>3.0</v>
      </c>
      <c r="H21" s="34">
        <v>16.0</v>
      </c>
      <c r="I21" s="34">
        <v>14.0</v>
      </c>
      <c r="J21" s="34">
        <v>21.0</v>
      </c>
      <c r="K21" s="34">
        <v>7.0</v>
      </c>
      <c r="L21" s="34">
        <v>22.0</v>
      </c>
      <c r="M21" s="34">
        <v>23.0</v>
      </c>
      <c r="N21" s="34">
        <v>8.0</v>
      </c>
      <c r="O21" s="34">
        <v>19.0</v>
      </c>
      <c r="P21" s="34">
        <v>7.0</v>
      </c>
      <c r="Q21" s="34">
        <v>4.0</v>
      </c>
      <c r="R21" s="28">
        <f t="shared" si="5"/>
        <v>219</v>
      </c>
      <c r="S21" s="29">
        <f t="shared" si="6"/>
        <v>0.09064569536</v>
      </c>
    </row>
    <row r="22" ht="14.25" customHeight="1">
      <c r="A22" s="30"/>
      <c r="B22" s="30"/>
      <c r="C22" s="31" t="s">
        <v>10</v>
      </c>
      <c r="D22" s="32">
        <v>2.0</v>
      </c>
      <c r="E22" s="32">
        <v>1.0</v>
      </c>
      <c r="F22" s="32">
        <v>2.0</v>
      </c>
      <c r="G22" s="32">
        <v>2.0</v>
      </c>
      <c r="H22" s="32">
        <v>0.0</v>
      </c>
      <c r="I22" s="32">
        <v>2.0</v>
      </c>
      <c r="J22" s="32">
        <v>1.0</v>
      </c>
      <c r="K22" s="32">
        <v>1.0</v>
      </c>
      <c r="L22" s="32">
        <v>0.0</v>
      </c>
      <c r="M22" s="32">
        <v>0.0</v>
      </c>
      <c r="N22" s="32">
        <v>0.0</v>
      </c>
      <c r="O22" s="32">
        <v>1.0</v>
      </c>
      <c r="P22" s="32">
        <v>0.0</v>
      </c>
      <c r="Q22" s="32">
        <v>9.0</v>
      </c>
      <c r="R22" s="28">
        <f t="shared" si="5"/>
        <v>21</v>
      </c>
      <c r="S22" s="29">
        <f t="shared" si="6"/>
        <v>0.00869205298</v>
      </c>
    </row>
    <row r="23" ht="14.25" customHeight="1">
      <c r="A23" s="30"/>
      <c r="B23" s="30"/>
      <c r="C23" s="33" t="s">
        <v>29</v>
      </c>
      <c r="D23" s="34">
        <v>12.0</v>
      </c>
      <c r="E23" s="35">
        <v>11.0</v>
      </c>
      <c r="F23" s="34">
        <v>2.0</v>
      </c>
      <c r="G23" s="34">
        <v>4.0</v>
      </c>
      <c r="H23" s="34">
        <v>5.0</v>
      </c>
      <c r="I23" s="34">
        <v>17.0</v>
      </c>
      <c r="J23" s="34">
        <v>10.0</v>
      </c>
      <c r="K23" s="34">
        <v>9.0</v>
      </c>
      <c r="L23" s="34">
        <v>4.0</v>
      </c>
      <c r="M23" s="34">
        <v>9.0</v>
      </c>
      <c r="N23" s="34">
        <v>16.0</v>
      </c>
      <c r="O23" s="34">
        <v>17.0</v>
      </c>
      <c r="P23" s="34">
        <v>8.0</v>
      </c>
      <c r="Q23" s="34">
        <v>2.0</v>
      </c>
      <c r="R23" s="28">
        <f t="shared" si="5"/>
        <v>126</v>
      </c>
      <c r="S23" s="29">
        <f t="shared" si="6"/>
        <v>0.05215231788</v>
      </c>
    </row>
    <row r="24" ht="14.25" customHeight="1">
      <c r="A24" s="30"/>
      <c r="B24" s="30"/>
      <c r="C24" s="31" t="s">
        <v>30</v>
      </c>
      <c r="D24" s="32">
        <v>2.0</v>
      </c>
      <c r="E24" s="32">
        <v>2.0</v>
      </c>
      <c r="F24" s="32">
        <v>1.0</v>
      </c>
      <c r="G24" s="32">
        <v>0.0</v>
      </c>
      <c r="H24" s="32">
        <v>1.0</v>
      </c>
      <c r="I24" s="32">
        <v>0.0</v>
      </c>
      <c r="J24" s="32">
        <v>4.0</v>
      </c>
      <c r="K24" s="32">
        <v>3.0</v>
      </c>
      <c r="L24" s="32">
        <v>3.0</v>
      </c>
      <c r="M24" s="32">
        <v>2.0</v>
      </c>
      <c r="N24" s="32">
        <v>3.0</v>
      </c>
      <c r="O24" s="32">
        <v>4.0</v>
      </c>
      <c r="P24" s="32">
        <v>3.0</v>
      </c>
      <c r="Q24" s="32">
        <v>1.0</v>
      </c>
      <c r="R24" s="28">
        <f t="shared" si="5"/>
        <v>29</v>
      </c>
      <c r="S24" s="29">
        <f t="shared" si="6"/>
        <v>0.01200331126</v>
      </c>
    </row>
    <row r="25" ht="14.25" customHeight="1">
      <c r="A25" s="30"/>
      <c r="B25" s="30"/>
      <c r="C25" s="33" t="s">
        <v>31</v>
      </c>
      <c r="D25" s="34">
        <v>0.0</v>
      </c>
      <c r="E25" s="35">
        <v>0.0</v>
      </c>
      <c r="F25" s="34">
        <v>0.0</v>
      </c>
      <c r="G25" s="34">
        <v>0.0</v>
      </c>
      <c r="H25" s="34">
        <v>2.0</v>
      </c>
      <c r="I25" s="34">
        <v>1.0</v>
      </c>
      <c r="J25" s="34">
        <v>1.0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1.0</v>
      </c>
      <c r="Q25" s="34">
        <v>0.0</v>
      </c>
      <c r="R25" s="28">
        <f t="shared" si="5"/>
        <v>5</v>
      </c>
      <c r="S25" s="29">
        <f t="shared" si="6"/>
        <v>0.002069536424</v>
      </c>
    </row>
    <row r="26" ht="14.25" customHeight="1">
      <c r="A26" s="30"/>
      <c r="B26" s="30"/>
      <c r="C26" s="31" t="s">
        <v>32</v>
      </c>
      <c r="D26" s="32">
        <v>6.0</v>
      </c>
      <c r="E26" s="32">
        <v>4.0</v>
      </c>
      <c r="F26" s="32">
        <v>1.0</v>
      </c>
      <c r="G26" s="32">
        <v>4.0</v>
      </c>
      <c r="H26" s="32">
        <v>7.0</v>
      </c>
      <c r="I26" s="32">
        <v>5.0</v>
      </c>
      <c r="J26" s="32">
        <v>4.0</v>
      </c>
      <c r="K26" s="32">
        <v>7.0</v>
      </c>
      <c r="L26" s="32">
        <v>5.0</v>
      </c>
      <c r="M26" s="32">
        <v>10.0</v>
      </c>
      <c r="N26" s="32">
        <v>12.0</v>
      </c>
      <c r="O26" s="32">
        <v>5.0</v>
      </c>
      <c r="P26" s="32">
        <v>1.0</v>
      </c>
      <c r="Q26" s="32">
        <v>5.0</v>
      </c>
      <c r="R26" s="28">
        <f t="shared" si="5"/>
        <v>76</v>
      </c>
      <c r="S26" s="29">
        <f t="shared" si="6"/>
        <v>0.03145695364</v>
      </c>
    </row>
    <row r="27" ht="14.25" customHeight="1">
      <c r="A27" s="30"/>
      <c r="B27" s="30"/>
      <c r="C27" s="33" t="s">
        <v>33</v>
      </c>
      <c r="D27" s="34">
        <v>9.0</v>
      </c>
      <c r="E27" s="36">
        <v>22.0</v>
      </c>
      <c r="F27" s="34">
        <v>11.0</v>
      </c>
      <c r="G27" s="34">
        <v>15.0</v>
      </c>
      <c r="H27" s="34">
        <v>15.0</v>
      </c>
      <c r="I27" s="34">
        <v>23.0</v>
      </c>
      <c r="J27" s="34">
        <v>11.0</v>
      </c>
      <c r="K27" s="34">
        <v>7.0</v>
      </c>
      <c r="L27" s="34">
        <v>6.0</v>
      </c>
      <c r="M27" s="34">
        <v>13.0</v>
      </c>
      <c r="N27" s="34">
        <v>18.0</v>
      </c>
      <c r="O27" s="34">
        <v>24.0</v>
      </c>
      <c r="P27" s="34">
        <v>5.0</v>
      </c>
      <c r="Q27" s="34">
        <v>4.0</v>
      </c>
      <c r="R27" s="28">
        <f t="shared" si="5"/>
        <v>183</v>
      </c>
      <c r="S27" s="29">
        <f t="shared" si="6"/>
        <v>0.07574503311</v>
      </c>
    </row>
    <row r="28" ht="14.25" customHeight="1">
      <c r="A28" s="30"/>
      <c r="B28" s="30"/>
      <c r="C28" s="37" t="s">
        <v>13</v>
      </c>
      <c r="D28" s="32">
        <v>2.0</v>
      </c>
      <c r="E28" s="32">
        <v>0.0</v>
      </c>
      <c r="F28" s="32">
        <v>0.0</v>
      </c>
      <c r="G28" s="32">
        <v>0.0</v>
      </c>
      <c r="H28" s="32">
        <v>3.0</v>
      </c>
      <c r="I28" s="32">
        <v>0.0</v>
      </c>
      <c r="J28" s="32">
        <v>0.0</v>
      </c>
      <c r="K28" s="32">
        <v>1.0</v>
      </c>
      <c r="L28" s="32">
        <v>1.0</v>
      </c>
      <c r="M28" s="32">
        <v>3.0</v>
      </c>
      <c r="N28" s="32">
        <v>3.0</v>
      </c>
      <c r="O28" s="32">
        <v>0.0</v>
      </c>
      <c r="P28" s="32">
        <v>0.0</v>
      </c>
      <c r="Q28" s="32">
        <v>0.0</v>
      </c>
      <c r="R28" s="28">
        <f t="shared" si="5"/>
        <v>13</v>
      </c>
      <c r="S28" s="29">
        <f t="shared" si="6"/>
        <v>0.005380794702</v>
      </c>
    </row>
    <row r="29" ht="14.25" customHeight="1">
      <c r="A29" s="24"/>
      <c r="B29" s="24"/>
      <c r="C29" s="33" t="s">
        <v>34</v>
      </c>
      <c r="D29" s="34">
        <v>0.0</v>
      </c>
      <c r="E29" s="35">
        <v>0.0</v>
      </c>
      <c r="F29" s="34">
        <v>0.0</v>
      </c>
      <c r="G29" s="34">
        <v>0.0</v>
      </c>
      <c r="H29" s="34">
        <v>0.0</v>
      </c>
      <c r="I29" s="34">
        <v>0.0</v>
      </c>
      <c r="J29" s="34">
        <v>1.0</v>
      </c>
      <c r="K29" s="34">
        <v>0.0</v>
      </c>
      <c r="L29" s="34">
        <v>1.0</v>
      </c>
      <c r="M29" s="34">
        <v>0.0</v>
      </c>
      <c r="N29" s="34">
        <v>0.0</v>
      </c>
      <c r="O29" s="34">
        <v>0.0</v>
      </c>
      <c r="P29" s="34">
        <v>0.0</v>
      </c>
      <c r="Q29" s="34">
        <v>0.0</v>
      </c>
      <c r="R29" s="28">
        <f t="shared" si="5"/>
        <v>2</v>
      </c>
      <c r="S29" s="29">
        <f t="shared" si="6"/>
        <v>0.0008278145695</v>
      </c>
    </row>
    <row r="30" ht="14.25" customHeight="1">
      <c r="A30" s="24"/>
      <c r="B30" s="24"/>
      <c r="C30" s="31" t="s">
        <v>14</v>
      </c>
      <c r="D30" s="32">
        <v>34.0</v>
      </c>
      <c r="E30" s="38">
        <v>19.0</v>
      </c>
      <c r="F30" s="32">
        <v>21.0</v>
      </c>
      <c r="G30" s="32">
        <v>18.0</v>
      </c>
      <c r="H30" s="32">
        <v>20.0</v>
      </c>
      <c r="I30" s="32">
        <v>27.0</v>
      </c>
      <c r="J30" s="32">
        <v>22.0</v>
      </c>
      <c r="K30" s="32">
        <v>13.0</v>
      </c>
      <c r="L30" s="32">
        <v>6.0</v>
      </c>
      <c r="M30" s="32">
        <v>15.0</v>
      </c>
      <c r="N30" s="32">
        <v>18.0</v>
      </c>
      <c r="O30" s="32">
        <v>42.0</v>
      </c>
      <c r="P30" s="32">
        <v>11.0</v>
      </c>
      <c r="Q30" s="32">
        <v>24.0</v>
      </c>
      <c r="R30" s="27">
        <f t="shared" si="5"/>
        <v>290</v>
      </c>
      <c r="S30" s="29">
        <f t="shared" si="6"/>
        <v>0.1200331126</v>
      </c>
    </row>
    <row r="31" ht="14.25" customHeight="1">
      <c r="A31" s="24"/>
      <c r="B31" s="24"/>
      <c r="C31" s="33" t="s">
        <v>35</v>
      </c>
      <c r="D31" s="34">
        <v>4.0</v>
      </c>
      <c r="E31" s="34">
        <v>10.0</v>
      </c>
      <c r="F31" s="34">
        <v>0.0</v>
      </c>
      <c r="G31" s="34">
        <v>2.0</v>
      </c>
      <c r="H31" s="34">
        <v>0.0</v>
      </c>
      <c r="I31" s="34">
        <v>0.0</v>
      </c>
      <c r="J31" s="34">
        <v>0.0</v>
      </c>
      <c r="K31" s="34">
        <v>5.0</v>
      </c>
      <c r="L31" s="34">
        <v>8.0</v>
      </c>
      <c r="M31" s="34">
        <v>3.0</v>
      </c>
      <c r="N31" s="34">
        <v>0.0</v>
      </c>
      <c r="O31" s="34">
        <v>0.0</v>
      </c>
      <c r="P31" s="34">
        <v>3.0</v>
      </c>
      <c r="Q31" s="34">
        <v>0.0</v>
      </c>
      <c r="R31" s="28">
        <f t="shared" si="5"/>
        <v>35</v>
      </c>
      <c r="S31" s="29">
        <f t="shared" si="6"/>
        <v>0.01448675497</v>
      </c>
    </row>
    <row r="32" ht="14.25" customHeight="1">
      <c r="A32" s="30"/>
      <c r="B32" s="30"/>
      <c r="C32" s="39" t="s">
        <v>15</v>
      </c>
      <c r="D32" s="40">
        <v>14.0</v>
      </c>
      <c r="E32" s="40">
        <v>42.0</v>
      </c>
      <c r="F32" s="40">
        <v>10.0</v>
      </c>
      <c r="G32" s="40">
        <v>19.0</v>
      </c>
      <c r="H32" s="40">
        <v>10.0</v>
      </c>
      <c r="I32" s="40">
        <v>18.0</v>
      </c>
      <c r="J32" s="40">
        <v>8.0</v>
      </c>
      <c r="K32" s="40">
        <v>13.0</v>
      </c>
      <c r="L32" s="40">
        <v>21.0</v>
      </c>
      <c r="M32" s="40">
        <v>27.0</v>
      </c>
      <c r="N32" s="40">
        <v>27.0</v>
      </c>
      <c r="O32" s="40">
        <v>26.0</v>
      </c>
      <c r="P32" s="40">
        <v>28.0</v>
      </c>
      <c r="Q32" s="40">
        <v>25.0</v>
      </c>
      <c r="R32" s="28">
        <f t="shared" si="5"/>
        <v>288</v>
      </c>
      <c r="S32" s="29">
        <f t="shared" si="6"/>
        <v>0.119205298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37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38</v>
      </c>
      <c r="D38" s="34">
        <v>2.0</v>
      </c>
      <c r="E38" s="34">
        <v>4.0</v>
      </c>
      <c r="F38" s="34">
        <v>2.0</v>
      </c>
      <c r="G38" s="34">
        <v>2.0</v>
      </c>
      <c r="H38" s="34">
        <v>1.0</v>
      </c>
      <c r="I38" s="49">
        <v>1.0</v>
      </c>
      <c r="J38" s="49">
        <v>1.0</v>
      </c>
      <c r="K38" s="49">
        <v>2.0</v>
      </c>
      <c r="L38" s="49">
        <v>6.0</v>
      </c>
      <c r="M38" s="34">
        <v>6.0</v>
      </c>
      <c r="N38" s="49">
        <v>2.0</v>
      </c>
      <c r="O38" s="34">
        <v>10.0</v>
      </c>
      <c r="P38" s="49">
        <v>7.0</v>
      </c>
      <c r="Q38" s="49">
        <v>1.0</v>
      </c>
      <c r="R38" s="28">
        <f t="shared" si="7"/>
        <v>47</v>
      </c>
      <c r="S38" s="29">
        <f t="shared" si="8"/>
        <v>0.01945364238</v>
      </c>
    </row>
    <row r="39" ht="14.25" customHeight="1">
      <c r="A39" s="30"/>
      <c r="B39" s="30"/>
      <c r="C39" s="31" t="s">
        <v>39</v>
      </c>
      <c r="D39" s="48"/>
      <c r="E39" s="32">
        <v>4.0</v>
      </c>
      <c r="F39" s="50">
        <v>1.0</v>
      </c>
      <c r="G39" s="48"/>
      <c r="H39" s="48"/>
      <c r="I39" s="48"/>
      <c r="J39" s="48"/>
      <c r="K39" s="48"/>
      <c r="L39" s="51"/>
      <c r="M39" s="48"/>
      <c r="N39" s="51"/>
      <c r="O39" s="52"/>
      <c r="P39" s="51"/>
      <c r="Q39" s="51"/>
      <c r="R39" s="28">
        <f t="shared" si="7"/>
        <v>5</v>
      </c>
      <c r="S39" s="29">
        <f t="shared" si="8"/>
        <v>0.002069536424</v>
      </c>
    </row>
    <row r="40" ht="14.25" customHeight="1">
      <c r="A40" s="30"/>
      <c r="B40" s="30"/>
      <c r="C40" s="33" t="s">
        <v>40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32">
        <v>2.0</v>
      </c>
      <c r="E41" s="32">
        <v>4.0</v>
      </c>
      <c r="F41" s="32">
        <v>3.0</v>
      </c>
      <c r="G41" s="32">
        <v>4.0</v>
      </c>
      <c r="H41" s="32">
        <v>1.0</v>
      </c>
      <c r="I41" s="32">
        <v>1.0</v>
      </c>
      <c r="J41" s="50">
        <v>4.0</v>
      </c>
      <c r="K41" s="51"/>
      <c r="L41" s="51"/>
      <c r="M41" s="50"/>
      <c r="N41" s="50"/>
      <c r="O41" s="50"/>
      <c r="P41" s="32"/>
      <c r="Q41" s="32"/>
      <c r="R41" s="28">
        <f t="shared" si="7"/>
        <v>19</v>
      </c>
      <c r="S41" s="29">
        <f t="shared" si="8"/>
        <v>0.007864238411</v>
      </c>
    </row>
    <row r="42" ht="14.25" customHeight="1">
      <c r="A42" s="30"/>
      <c r="B42" s="30"/>
      <c r="C42" s="33" t="s">
        <v>42</v>
      </c>
      <c r="D42" s="49"/>
      <c r="E42" s="49"/>
      <c r="F42" s="54"/>
      <c r="G42" s="53"/>
      <c r="H42" s="49"/>
      <c r="I42" s="49">
        <v>1.0</v>
      </c>
      <c r="J42" s="49"/>
      <c r="K42" s="49">
        <v>2.0</v>
      </c>
      <c r="L42" s="49">
        <v>1.0</v>
      </c>
      <c r="M42" s="34">
        <v>4.0</v>
      </c>
      <c r="N42" s="49">
        <v>4.0</v>
      </c>
      <c r="O42" s="34">
        <v>3.0</v>
      </c>
      <c r="P42" s="49">
        <v>1.0</v>
      </c>
      <c r="Q42" s="34"/>
      <c r="R42" s="28">
        <f t="shared" si="7"/>
        <v>16</v>
      </c>
      <c r="S42" s="29">
        <f t="shared" si="8"/>
        <v>0.006622516556</v>
      </c>
    </row>
    <row r="43" ht="14.25" customHeight="1">
      <c r="A43" s="30"/>
      <c r="B43" s="30"/>
      <c r="C43" s="31" t="s">
        <v>43</v>
      </c>
      <c r="D43" s="48"/>
      <c r="E43" s="51"/>
      <c r="F43" s="48"/>
      <c r="G43" s="48"/>
      <c r="H43" s="48"/>
      <c r="I43" s="48"/>
      <c r="J43" s="48"/>
      <c r="K43" s="48"/>
      <c r="L43" s="48"/>
      <c r="M43" s="48"/>
      <c r="N43" s="48"/>
      <c r="O43" s="50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44</v>
      </c>
      <c r="D44" s="49"/>
      <c r="E44" s="34"/>
      <c r="F44" s="53"/>
      <c r="G44" s="34"/>
      <c r="H44" s="53"/>
      <c r="I44" s="54"/>
      <c r="J44" s="34">
        <v>1.0</v>
      </c>
      <c r="K44" s="34"/>
      <c r="L44" s="49"/>
      <c r="M44" s="54"/>
      <c r="N44" s="55"/>
      <c r="O44" s="54"/>
      <c r="P44" s="49"/>
      <c r="Q44" s="53"/>
      <c r="R44" s="28">
        <f t="shared" si="7"/>
        <v>1</v>
      </c>
      <c r="S44" s="29">
        <f t="shared" si="8"/>
        <v>0.0004139072848</v>
      </c>
    </row>
    <row r="45" ht="14.25" customHeight="1">
      <c r="A45" s="30"/>
      <c r="B45" s="30"/>
      <c r="C45" s="31" t="s">
        <v>45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6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46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8"/>
      <c r="O46" s="57"/>
      <c r="P46" s="57"/>
      <c r="Q46" s="57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47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0"/>
      <c r="O47" s="59"/>
      <c r="P47" s="59"/>
      <c r="Q47" s="59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48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8"/>
      <c r="O48" s="57"/>
      <c r="P48" s="57"/>
      <c r="Q48" s="57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49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60"/>
      <c r="O49" s="59"/>
      <c r="P49" s="59"/>
      <c r="Q49" s="59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1" t="s">
        <v>50</v>
      </c>
      <c r="D50" s="49">
        <v>52.0</v>
      </c>
      <c r="E50" s="49">
        <v>31.0</v>
      </c>
      <c r="F50" s="49">
        <v>26.0</v>
      </c>
      <c r="G50" s="49">
        <v>20.0</v>
      </c>
      <c r="H50" s="49">
        <v>23.0</v>
      </c>
      <c r="I50" s="34">
        <v>28.0</v>
      </c>
      <c r="J50" s="49">
        <v>14.0</v>
      </c>
      <c r="K50" s="49">
        <v>24.0</v>
      </c>
      <c r="L50" s="49">
        <v>19.0</v>
      </c>
      <c r="M50" s="49">
        <v>35.0</v>
      </c>
      <c r="N50" s="34">
        <v>25.0</v>
      </c>
      <c r="O50" s="49">
        <v>52.0</v>
      </c>
      <c r="P50" s="49">
        <v>33.0</v>
      </c>
      <c r="Q50" s="49">
        <v>9.0</v>
      </c>
      <c r="R50" s="28">
        <f t="shared" si="7"/>
        <v>391</v>
      </c>
      <c r="S50" s="29">
        <f t="shared" si="8"/>
        <v>0.1618377483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14</v>
      </c>
      <c r="E51" s="51">
        <f t="shared" si="9"/>
        <v>13</v>
      </c>
      <c r="F51" s="51">
        <f t="shared" si="9"/>
        <v>3</v>
      </c>
      <c r="G51" s="51">
        <f t="shared" si="9"/>
        <v>4</v>
      </c>
      <c r="H51" s="51">
        <f t="shared" si="9"/>
        <v>8</v>
      </c>
      <c r="I51" s="51">
        <f t="shared" si="9"/>
        <v>18</v>
      </c>
      <c r="J51" s="51">
        <f t="shared" si="9"/>
        <v>15</v>
      </c>
      <c r="K51" s="51">
        <f t="shared" si="9"/>
        <v>12</v>
      </c>
      <c r="L51" s="51">
        <f t="shared" si="9"/>
        <v>7</v>
      </c>
      <c r="M51" s="51">
        <f t="shared" si="9"/>
        <v>11</v>
      </c>
      <c r="N51" s="51">
        <f t="shared" si="9"/>
        <v>19</v>
      </c>
      <c r="O51" s="51">
        <f t="shared" si="9"/>
        <v>21</v>
      </c>
      <c r="P51" s="51">
        <f t="shared" si="9"/>
        <v>12</v>
      </c>
      <c r="Q51" s="51">
        <f t="shared" si="9"/>
        <v>3</v>
      </c>
      <c r="R51" s="28">
        <f t="shared" si="9"/>
        <v>160</v>
      </c>
      <c r="S51" s="29">
        <f t="shared" si="8"/>
        <v>0.06622516556</v>
      </c>
    </row>
    <row r="52" ht="14.25" customHeight="1">
      <c r="A52" s="24"/>
      <c r="B52" s="24"/>
      <c r="C52" s="33" t="s">
        <v>12</v>
      </c>
      <c r="D52" s="54">
        <f t="shared" ref="D52:R52" si="10">SUM(D26:D27)</f>
        <v>15</v>
      </c>
      <c r="E52" s="54">
        <f t="shared" si="10"/>
        <v>26</v>
      </c>
      <c r="F52" s="54">
        <f t="shared" si="10"/>
        <v>12</v>
      </c>
      <c r="G52" s="54">
        <f t="shared" si="10"/>
        <v>19</v>
      </c>
      <c r="H52" s="54">
        <f t="shared" si="10"/>
        <v>22</v>
      </c>
      <c r="I52" s="54">
        <f t="shared" si="10"/>
        <v>28</v>
      </c>
      <c r="J52" s="54">
        <f t="shared" si="10"/>
        <v>15</v>
      </c>
      <c r="K52" s="54">
        <f t="shared" si="10"/>
        <v>14</v>
      </c>
      <c r="L52" s="54">
        <f t="shared" si="10"/>
        <v>11</v>
      </c>
      <c r="M52" s="54">
        <f t="shared" si="10"/>
        <v>23</v>
      </c>
      <c r="N52" s="54">
        <f t="shared" si="10"/>
        <v>30</v>
      </c>
      <c r="O52" s="54">
        <f t="shared" si="10"/>
        <v>29</v>
      </c>
      <c r="P52" s="54">
        <f t="shared" si="10"/>
        <v>6</v>
      </c>
      <c r="Q52" s="54">
        <f t="shared" si="10"/>
        <v>9</v>
      </c>
      <c r="R52" s="28">
        <f t="shared" si="10"/>
        <v>259</v>
      </c>
      <c r="S52" s="29">
        <f t="shared" si="8"/>
        <v>0.1072019868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2</v>
      </c>
      <c r="E53" s="51">
        <f t="shared" si="11"/>
        <v>0</v>
      </c>
      <c r="F53" s="51">
        <f t="shared" si="11"/>
        <v>0</v>
      </c>
      <c r="G53" s="51">
        <f t="shared" si="11"/>
        <v>0</v>
      </c>
      <c r="H53" s="51">
        <f t="shared" si="11"/>
        <v>3</v>
      </c>
      <c r="I53" s="51">
        <f t="shared" si="11"/>
        <v>0</v>
      </c>
      <c r="J53" s="51">
        <f t="shared" si="11"/>
        <v>1</v>
      </c>
      <c r="K53" s="51">
        <f t="shared" si="11"/>
        <v>1</v>
      </c>
      <c r="L53" s="51">
        <f t="shared" si="11"/>
        <v>2</v>
      </c>
      <c r="M53" s="51">
        <f t="shared" si="11"/>
        <v>3</v>
      </c>
      <c r="N53" s="51">
        <f t="shared" si="11"/>
        <v>3</v>
      </c>
      <c r="O53" s="51">
        <f t="shared" si="11"/>
        <v>0</v>
      </c>
      <c r="P53" s="51">
        <f t="shared" si="11"/>
        <v>0</v>
      </c>
      <c r="Q53" s="51">
        <f t="shared" si="11"/>
        <v>0</v>
      </c>
      <c r="R53" s="28">
        <f t="shared" si="11"/>
        <v>15</v>
      </c>
      <c r="S53" s="29">
        <f t="shared" si="8"/>
        <v>0.006208609272</v>
      </c>
    </row>
    <row r="54" ht="14.25" customHeight="1">
      <c r="A54" s="24"/>
      <c r="B54" s="24"/>
      <c r="C54" s="33" t="s">
        <v>14</v>
      </c>
      <c r="D54" s="54">
        <f t="shared" ref="D54:R54" si="12">SUM(D30:D31)</f>
        <v>38</v>
      </c>
      <c r="E54" s="54">
        <f t="shared" si="12"/>
        <v>29</v>
      </c>
      <c r="F54" s="54">
        <f t="shared" si="12"/>
        <v>21</v>
      </c>
      <c r="G54" s="54">
        <f t="shared" si="12"/>
        <v>20</v>
      </c>
      <c r="H54" s="54">
        <f t="shared" si="12"/>
        <v>20</v>
      </c>
      <c r="I54" s="54">
        <f t="shared" si="12"/>
        <v>27</v>
      </c>
      <c r="J54" s="54">
        <f t="shared" si="12"/>
        <v>22</v>
      </c>
      <c r="K54" s="54">
        <f t="shared" si="12"/>
        <v>18</v>
      </c>
      <c r="L54" s="54">
        <f t="shared" si="12"/>
        <v>14</v>
      </c>
      <c r="M54" s="54">
        <f t="shared" si="12"/>
        <v>18</v>
      </c>
      <c r="N54" s="54">
        <f t="shared" si="12"/>
        <v>18</v>
      </c>
      <c r="O54" s="54">
        <f t="shared" si="12"/>
        <v>42</v>
      </c>
      <c r="P54" s="54">
        <f t="shared" si="12"/>
        <v>14</v>
      </c>
      <c r="Q54" s="54">
        <f t="shared" si="12"/>
        <v>24</v>
      </c>
      <c r="R54" s="28">
        <f t="shared" si="12"/>
        <v>325</v>
      </c>
      <c r="S54" s="29">
        <f t="shared" si="8"/>
        <v>0.1345198675</v>
      </c>
    </row>
    <row r="55" ht="14.25" customHeight="1">
      <c r="A55" s="24"/>
      <c r="B55" s="24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2" t="str">
        <f>Fluxo!A2</f>
        <v>TOTAL</v>
      </c>
      <c r="F1" s="62">
        <v>2.0</v>
      </c>
      <c r="G1" t="str">
        <f t="array" ref="G1:G19">TRANSPOSE(Dados!2:2)</f>
        <v/>
      </c>
    </row>
    <row r="2">
      <c r="F2" s="62">
        <v>3.0</v>
      </c>
      <c r="G2" t="s">
        <v>18</v>
      </c>
    </row>
    <row r="3">
      <c r="A3" t="str">
        <f>Dados!B3</f>
        <v>Usina Salgado</v>
      </c>
      <c r="B3" t="str">
        <f>Dados!C3</f>
        <v>Ipojuca</v>
      </c>
      <c r="F3" s="62">
        <v>4.0</v>
      </c>
      <c r="G3" t="s">
        <v>19</v>
      </c>
      <c r="Q3">
        <f>HLOOKUP($A$1,Dados!$D$2:$S$14,F1,0)</f>
        <v>206</v>
      </c>
    </row>
    <row r="4">
      <c r="A4" t="str">
        <f>Dados!B4</f>
        <v>Usina Salgado</v>
      </c>
      <c r="B4" t="str">
        <f>Dados!C4</f>
        <v>Rua do Colégio</v>
      </c>
      <c r="F4" s="62">
        <v>5.0</v>
      </c>
      <c r="G4">
        <v>6.0</v>
      </c>
      <c r="Q4">
        <f>HLOOKUP($A$1,Dados!$D$2:$S$14,F2,0)</f>
        <v>407</v>
      </c>
    </row>
    <row r="5">
      <c r="A5" t="str">
        <f>Dados!B5</f>
        <v>Usina Salgado</v>
      </c>
      <c r="B5" t="str">
        <f>Dados!C5</f>
        <v>Porto de Galinhas</v>
      </c>
      <c r="F5" s="62">
        <v>6.0</v>
      </c>
      <c r="G5">
        <v>7.0</v>
      </c>
      <c r="Q5">
        <f>HLOOKUP($A$1,Dados!$D$2:$S$14,F3,0)</f>
        <v>52</v>
      </c>
    </row>
    <row r="6">
      <c r="A6" t="str">
        <f>Dados!B6</f>
        <v>Porto de Galinhas</v>
      </c>
      <c r="B6" t="str">
        <f>Dados!C6</f>
        <v>Usina Salgado</v>
      </c>
      <c r="F6" s="62">
        <v>7.0</v>
      </c>
      <c r="G6">
        <v>8.0</v>
      </c>
      <c r="Q6">
        <f>HLOOKUP($A$1,Dados!$D$2:$S$14,F4,0)</f>
        <v>64</v>
      </c>
    </row>
    <row r="7">
      <c r="A7" t="str">
        <f>Dados!B7</f>
        <v>Porto de Galinhas</v>
      </c>
      <c r="B7" t="str">
        <f>Dados!C7</f>
        <v>Ipojuca</v>
      </c>
      <c r="F7" s="62">
        <v>8.0</v>
      </c>
      <c r="G7">
        <v>9.0</v>
      </c>
      <c r="Q7">
        <f>HLOOKUP($A$1,Dados!$D$2:$S$14,F5,0)</f>
        <v>262</v>
      </c>
    </row>
    <row r="8">
      <c r="A8" t="str">
        <f>Dados!B8</f>
        <v>Porto de Galinhas</v>
      </c>
      <c r="B8" t="str">
        <f>Dados!C8</f>
        <v>Rua do Colégio</v>
      </c>
      <c r="F8" s="62">
        <v>9.0</v>
      </c>
      <c r="G8">
        <v>10.0</v>
      </c>
      <c r="Q8">
        <f>HLOOKUP($A$1,Dados!$D$2:$S$14,F6,0)</f>
        <v>46</v>
      </c>
    </row>
    <row r="9">
      <c r="A9" t="str">
        <f>Dados!B9</f>
        <v>Rua do Colégio</v>
      </c>
      <c r="B9" t="str">
        <f>Dados!C9</f>
        <v>Porto de Galinhas</v>
      </c>
      <c r="F9" s="62">
        <v>10.0</v>
      </c>
      <c r="G9">
        <v>11.0</v>
      </c>
      <c r="Q9">
        <f>HLOOKUP($A$1,Dados!$D$2:$S$14,F7,0)</f>
        <v>49</v>
      </c>
    </row>
    <row r="10">
      <c r="A10" t="str">
        <f>Dados!B10</f>
        <v>Rua do Colégio</v>
      </c>
      <c r="B10" t="str">
        <f>Dados!C10</f>
        <v>Usina Salgado</v>
      </c>
      <c r="F10" s="62">
        <v>11.0</v>
      </c>
      <c r="G10">
        <v>12.0</v>
      </c>
      <c r="Q10">
        <f>HLOOKUP($A$1,Dados!$D$2:$S$14,F8,0)</f>
        <v>406</v>
      </c>
    </row>
    <row r="11">
      <c r="A11" t="str">
        <f>Dados!B11</f>
        <v>Rua do Colégio</v>
      </c>
      <c r="B11" t="str">
        <f>Dados!C11</f>
        <v>Ipojuca</v>
      </c>
      <c r="F11" s="62">
        <v>12.0</v>
      </c>
      <c r="G11">
        <v>13.0</v>
      </c>
      <c r="Q11">
        <f>HLOOKUP($A$1,Dados!$D$2:$S$14,F9,0)</f>
        <v>296</v>
      </c>
    </row>
    <row r="12">
      <c r="A12" t="str">
        <f>Dados!B12</f>
        <v>Ipojuca</v>
      </c>
      <c r="B12" t="str">
        <f>Dados!C12</f>
        <v>Rua do Colégio</v>
      </c>
      <c r="F12" s="62">
        <v>13.0</v>
      </c>
      <c r="G12">
        <v>14.0</v>
      </c>
      <c r="Q12">
        <f>HLOOKUP($A$1,Dados!$D$2:$S$14,F10,0)</f>
        <v>294</v>
      </c>
    </row>
    <row r="13">
      <c r="A13" t="str">
        <f>Dados!B13</f>
        <v>Ipojuca</v>
      </c>
      <c r="B13" t="str">
        <f>Dados!C13</f>
        <v>Porto de Galinhas</v>
      </c>
      <c r="G13">
        <v>15.0</v>
      </c>
      <c r="Q13">
        <f>HLOOKUP($A$1,Dados!$D$2:$S$14,F11,0)</f>
        <v>185</v>
      </c>
    </row>
    <row r="14">
      <c r="A14" t="str">
        <f>Dados!B14</f>
        <v>Ipojuca</v>
      </c>
      <c r="B14" t="str">
        <f>Dados!C14</f>
        <v>Usina Salgado</v>
      </c>
      <c r="G14">
        <v>16.0</v>
      </c>
      <c r="Q14">
        <f>HLOOKUP($A$1,Dados!$D$2:$S$14,F12,0)</f>
        <v>149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3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4" t="s">
        <v>51</v>
      </c>
    </row>
    <row r="2">
      <c r="A2" s="65" t="s">
        <v>52</v>
      </c>
      <c r="B2" s="66">
        <f>Dados!D2</f>
        <v>6</v>
      </c>
      <c r="C2" s="66">
        <f>Dados!E2</f>
        <v>7</v>
      </c>
      <c r="D2" s="66">
        <f>Dados!F2</f>
        <v>8</v>
      </c>
      <c r="E2" s="66">
        <f>Dados!G2</f>
        <v>9</v>
      </c>
      <c r="F2" s="66">
        <f>Dados!H2</f>
        <v>10</v>
      </c>
      <c r="G2" s="66">
        <f>Dados!I2</f>
        <v>11</v>
      </c>
      <c r="H2" s="66">
        <f>Dados!J2</f>
        <v>12</v>
      </c>
      <c r="I2" s="66">
        <f>Dados!K2</f>
        <v>13</v>
      </c>
      <c r="J2" s="66">
        <f>Dados!L2</f>
        <v>14</v>
      </c>
      <c r="K2" s="66">
        <f>Dados!M2</f>
        <v>15</v>
      </c>
      <c r="L2" s="66">
        <f>Dados!N2</f>
        <v>16</v>
      </c>
      <c r="M2" s="66">
        <f>Dados!O2</f>
        <v>17</v>
      </c>
      <c r="N2" s="66">
        <f>Dados!P2</f>
        <v>18</v>
      </c>
      <c r="O2" s="66">
        <f>Dados!Q2</f>
        <v>19</v>
      </c>
    </row>
    <row r="3">
      <c r="A3" s="67" t="s">
        <v>53</v>
      </c>
      <c r="B3" s="68">
        <f>Dados!D15-B4-B5</f>
        <v>141</v>
      </c>
      <c r="C3" s="68">
        <f>Dados!E15-C4-C5</f>
        <v>152</v>
      </c>
      <c r="D3" s="68">
        <f>Dados!F15-D4-D5</f>
        <v>90</v>
      </c>
      <c r="E3" s="68">
        <f>Dados!G15-E4-E5</f>
        <v>85</v>
      </c>
      <c r="F3" s="68">
        <f>Dados!H15-F4-F5</f>
        <v>100</v>
      </c>
      <c r="G3" s="68">
        <f>Dados!I15-G4-G5</f>
        <v>121</v>
      </c>
      <c r="H3" s="68">
        <f>Dados!J15-H4-H5</f>
        <v>73</v>
      </c>
      <c r="I3" s="68">
        <f>Dados!K15-I4-I5</f>
        <v>105</v>
      </c>
      <c r="J3" s="68">
        <f>Dados!L15-J4-J5</f>
        <v>101</v>
      </c>
      <c r="K3" s="68">
        <f>Dados!M15-K4-K5</f>
        <v>125</v>
      </c>
      <c r="L3" s="68">
        <f>Dados!N15-L4-L5</f>
        <v>169</v>
      </c>
      <c r="M3" s="68">
        <f>Dados!O15-M4-M5</f>
        <v>238</v>
      </c>
      <c r="N3" s="68">
        <f>Dados!P15-N4-N5</f>
        <v>127</v>
      </c>
      <c r="O3" s="68">
        <f>Dados!Q15-O4-O5</f>
        <v>94</v>
      </c>
    </row>
    <row r="4">
      <c r="A4" s="65" t="s">
        <v>54</v>
      </c>
      <c r="B4" s="66">
        <f>Dados!D20</f>
        <v>28</v>
      </c>
      <c r="C4" s="66">
        <f>Dados!E20</f>
        <v>39</v>
      </c>
      <c r="D4" s="66">
        <f>Dados!F20</f>
        <v>35</v>
      </c>
      <c r="E4" s="66">
        <f>Dados!G20</f>
        <v>27</v>
      </c>
      <c r="F4" s="66">
        <f>Dados!H20</f>
        <v>27</v>
      </c>
      <c r="G4" s="66">
        <f>Dados!I20</f>
        <v>39</v>
      </c>
      <c r="H4" s="66">
        <f>Dados!J20</f>
        <v>21</v>
      </c>
      <c r="I4" s="66">
        <f>Dados!K20</f>
        <v>52</v>
      </c>
      <c r="J4" s="69">
        <f>Dados!L20</f>
        <v>29</v>
      </c>
      <c r="K4" s="66">
        <f>Dados!M20</f>
        <v>35</v>
      </c>
      <c r="L4" s="66">
        <f>Dados!N20</f>
        <v>50</v>
      </c>
      <c r="M4" s="66">
        <f>Dados!O20</f>
        <v>40</v>
      </c>
      <c r="N4" s="66">
        <f>Dados!P20</f>
        <v>33</v>
      </c>
      <c r="O4" s="66">
        <f>Dados!Q20</f>
        <v>21</v>
      </c>
    </row>
    <row r="5">
      <c r="A5" s="67" t="s">
        <v>9</v>
      </c>
      <c r="B5" s="70">
        <f>Dados!D21</f>
        <v>16</v>
      </c>
      <c r="C5" s="70">
        <f>Dados!E21</f>
        <v>55</v>
      </c>
      <c r="D5" s="70">
        <f>Dados!F21</f>
        <v>4</v>
      </c>
      <c r="E5" s="70">
        <f>Dados!G21</f>
        <v>3</v>
      </c>
      <c r="F5" s="70">
        <f>Dados!H21</f>
        <v>16</v>
      </c>
      <c r="G5" s="70">
        <f>Dados!I21</f>
        <v>14</v>
      </c>
      <c r="H5" s="70">
        <f>Dados!J21</f>
        <v>21</v>
      </c>
      <c r="I5" s="70">
        <f>Dados!K21</f>
        <v>7</v>
      </c>
      <c r="J5" s="70">
        <f>Dados!L21</f>
        <v>22</v>
      </c>
      <c r="K5" s="70">
        <f>Dados!M21</f>
        <v>23</v>
      </c>
      <c r="L5" s="70">
        <f>Dados!N21</f>
        <v>8</v>
      </c>
      <c r="M5" s="70">
        <f>Dados!O21</f>
        <v>19</v>
      </c>
      <c r="N5" s="70">
        <f>Dados!P21</f>
        <v>7</v>
      </c>
      <c r="O5" s="70">
        <f>Dados!Q21</f>
        <v>4</v>
      </c>
    </row>
    <row r="7">
      <c r="A7" s="71" t="s">
        <v>55</v>
      </c>
    </row>
    <row r="8">
      <c r="A8" s="72" t="s">
        <v>56</v>
      </c>
      <c r="B8" s="66">
        <v>6.0</v>
      </c>
      <c r="C8" s="66">
        <v>7.0</v>
      </c>
      <c r="D8" s="66">
        <v>8.0</v>
      </c>
      <c r="E8" s="66">
        <v>9.0</v>
      </c>
      <c r="F8" s="66">
        <v>10.0</v>
      </c>
      <c r="G8" s="66">
        <v>11.0</v>
      </c>
      <c r="H8" s="66">
        <v>12.0</v>
      </c>
      <c r="I8" s="66">
        <v>13.0</v>
      </c>
      <c r="J8" s="66">
        <v>14.0</v>
      </c>
      <c r="K8" s="66">
        <v>15.0</v>
      </c>
      <c r="L8" s="66">
        <v>16.0</v>
      </c>
      <c r="M8" s="66">
        <v>17.0</v>
      </c>
      <c r="N8" s="66">
        <v>18.0</v>
      </c>
      <c r="O8" s="66">
        <v>19.0</v>
      </c>
    </row>
    <row r="9">
      <c r="A9" s="73" t="s">
        <v>54</v>
      </c>
      <c r="B9" s="74">
        <f>B4/Dados!D$15</f>
        <v>0.1513513514</v>
      </c>
      <c r="C9" s="74">
        <f>C4/Dados!E$15</f>
        <v>0.1585365854</v>
      </c>
      <c r="D9" s="74">
        <f>D4/Dados!F$15</f>
        <v>0.2713178295</v>
      </c>
      <c r="E9" s="74">
        <f>E4/Dados!G$15</f>
        <v>0.2347826087</v>
      </c>
      <c r="F9" s="74">
        <f>F4/Dados!H$15</f>
        <v>0.1888111888</v>
      </c>
      <c r="G9" s="74">
        <f>G4/Dados!I$15</f>
        <v>0.224137931</v>
      </c>
      <c r="H9" s="74">
        <f>H4/Dados!J$15</f>
        <v>0.1826086957</v>
      </c>
      <c r="I9" s="74">
        <f>I4/Dados!K$15</f>
        <v>0.3170731707</v>
      </c>
      <c r="J9" s="74">
        <f>J4/Dados!L$15</f>
        <v>0.1907894737</v>
      </c>
      <c r="K9" s="74">
        <f>K4/Dados!M$15</f>
        <v>0.1912568306</v>
      </c>
      <c r="L9" s="74">
        <f>L4/Dados!N$15</f>
        <v>0.2202643172</v>
      </c>
      <c r="M9" s="74">
        <f>M4/Dados!O$15</f>
        <v>0.1346801347</v>
      </c>
      <c r="N9" s="74">
        <f>N4/Dados!P$15</f>
        <v>0.1976047904</v>
      </c>
      <c r="O9" s="74">
        <f>O4/Dados!Q$15</f>
        <v>0.1764705882</v>
      </c>
    </row>
    <row r="10">
      <c r="A10" s="72" t="s">
        <v>9</v>
      </c>
      <c r="B10" s="75">
        <f>B5/Dados!D$15</f>
        <v>0.08648648649</v>
      </c>
      <c r="C10" s="75">
        <f>C5/Dados!E$15</f>
        <v>0.2235772358</v>
      </c>
      <c r="D10" s="75">
        <f>D5/Dados!F$15</f>
        <v>0.03100775194</v>
      </c>
      <c r="E10" s="75">
        <f>E5/Dados!G$15</f>
        <v>0.02608695652</v>
      </c>
      <c r="F10" s="75">
        <f>F5/Dados!H$15</f>
        <v>0.1118881119</v>
      </c>
      <c r="G10" s="75">
        <f>G5/Dados!I$15</f>
        <v>0.08045977011</v>
      </c>
      <c r="H10" s="75">
        <f>H5/Dados!J$15</f>
        <v>0.1826086957</v>
      </c>
      <c r="I10" s="75">
        <f>I5/Dados!K$15</f>
        <v>0.04268292683</v>
      </c>
      <c r="J10" s="75">
        <f>J5/Dados!L$15</f>
        <v>0.1447368421</v>
      </c>
      <c r="K10" s="75">
        <f>K5/Dados!M$15</f>
        <v>0.1256830601</v>
      </c>
      <c r="L10" s="75">
        <f>L5/Dados!N$15</f>
        <v>0.03524229075</v>
      </c>
      <c r="M10" s="75">
        <f>M5/Dados!O$15</f>
        <v>0.06397306397</v>
      </c>
      <c r="N10" s="75">
        <f>N5/Dados!P$15</f>
        <v>0.04191616766</v>
      </c>
      <c r="O10" s="75">
        <f>O5/Dados!Q$15</f>
        <v>0.03361344538</v>
      </c>
    </row>
    <row r="12">
      <c r="A12" s="76" t="str">
        <f>Dados!C19</f>
        <v>Característica</v>
      </c>
      <c r="B12" s="77" t="str">
        <f>Dados!S19</f>
        <v>%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</row>
    <row r="13">
      <c r="A13" s="76" t="str">
        <f>Dados!C20</f>
        <v>Mulher</v>
      </c>
      <c r="B13" s="77">
        <f>Dados!S20</f>
        <v>0.1970198675</v>
      </c>
    </row>
    <row r="14">
      <c r="A14" s="76" t="str">
        <f>Dados!C21</f>
        <v>Crianças e adolescentes</v>
      </c>
      <c r="B14" s="77">
        <f>Dados!S21</f>
        <v>0.09064569536</v>
      </c>
    </row>
    <row r="15">
      <c r="A15" s="76" t="str">
        <f>Dados!C22</f>
        <v>Capacete</v>
      </c>
      <c r="B15" s="77">
        <f>Dados!S22</f>
        <v>0.00869205298</v>
      </c>
    </row>
    <row r="16">
      <c r="A16" s="76" t="s">
        <v>11</v>
      </c>
      <c r="B16" s="77">
        <f>Dados!S51</f>
        <v>0.06622516556</v>
      </c>
    </row>
    <row r="17">
      <c r="A17" s="76" t="str">
        <f>Dados!C35</f>
        <v>Dados qualitativos das observações</v>
      </c>
      <c r="B17" s="76" t="str">
        <f>Dados!S35</f>
        <v/>
      </c>
    </row>
    <row r="18">
      <c r="A18" s="76" t="str">
        <f>Dados!C37</f>
        <v>Bike PE</v>
      </c>
      <c r="B18" s="77">
        <f>Dados!S37</f>
        <v>0</v>
      </c>
    </row>
    <row r="19">
      <c r="A19" s="76" t="str">
        <f>Dados!C32</f>
        <v>Calçada</v>
      </c>
      <c r="B19" s="77">
        <f>Dados!S32</f>
        <v>0.119205298</v>
      </c>
    </row>
    <row r="20">
      <c r="A20" s="76" t="str">
        <f>Dados!C52</f>
        <v>Cargueiras</v>
      </c>
      <c r="B20" s="77">
        <f>Dados!S52</f>
        <v>0.1072019868</v>
      </c>
    </row>
    <row r="21">
      <c r="A21" s="78"/>
      <c r="B21" s="78"/>
    </row>
    <row r="22">
      <c r="A22" s="78"/>
      <c r="B22" s="78"/>
    </row>
    <row r="23">
      <c r="A23" s="78"/>
      <c r="B23" s="78"/>
    </row>
    <row r="24">
      <c r="A24" s="78"/>
      <c r="B24" s="78"/>
    </row>
    <row r="25">
      <c r="A25" s="78"/>
      <c r="B25" s="78"/>
    </row>
    <row r="26">
      <c r="A26" s="78"/>
      <c r="B26" s="78"/>
    </row>
    <row r="27">
      <c r="A27" s="78"/>
      <c r="B27" s="78"/>
    </row>
    <row r="28">
      <c r="A28" s="78"/>
      <c r="B28" s="78"/>
    </row>
    <row r="29">
      <c r="A29" s="78"/>
      <c r="B29" s="7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79" t="s">
        <v>57</v>
      </c>
      <c r="B1" s="80"/>
      <c r="C1" s="81"/>
      <c r="D1" s="82"/>
      <c r="E1" s="83" t="str">
        <f>UPPER(CONFFLUXO!A3)</f>
        <v>USINA SALGADO</v>
      </c>
      <c r="F1" s="80"/>
      <c r="G1" s="81"/>
      <c r="H1" s="84"/>
      <c r="I1" s="84"/>
      <c r="J1" s="84"/>
      <c r="K1" s="84"/>
    </row>
    <row r="2" ht="22.5" customHeight="1">
      <c r="A2" s="79" t="s">
        <v>20</v>
      </c>
      <c r="B2" s="80"/>
      <c r="C2" s="81"/>
      <c r="D2" s="82"/>
      <c r="E2" s="85">
        <f>SUM(E3:G3)</f>
        <v>665</v>
      </c>
      <c r="F2" s="80"/>
      <c r="G2" s="81"/>
      <c r="H2" s="84"/>
      <c r="I2" s="84"/>
      <c r="J2" s="84"/>
      <c r="K2" s="84"/>
    </row>
    <row r="3" ht="22.5" customHeight="1">
      <c r="A3" s="86"/>
      <c r="B3" s="86"/>
      <c r="C3" s="86"/>
      <c r="D3" s="87"/>
      <c r="E3" s="88">
        <f>CONFFLUXO!Q3</f>
        <v>206</v>
      </c>
      <c r="F3" s="88">
        <f>CONFFLUXO!Q4</f>
        <v>407</v>
      </c>
      <c r="G3" s="88">
        <f>CONFFLUXO!Q5</f>
        <v>52</v>
      </c>
      <c r="H3" s="84"/>
      <c r="I3" s="84"/>
      <c r="J3" s="84"/>
      <c r="K3" s="84"/>
    </row>
    <row r="4" ht="25.5" customHeight="1">
      <c r="A4" s="89"/>
      <c r="B4" s="89"/>
      <c r="C4" s="86"/>
      <c r="D4" s="86"/>
      <c r="E4" s="84"/>
      <c r="F4" s="84"/>
      <c r="G4" s="84"/>
      <c r="H4" s="90"/>
      <c r="I4" s="90"/>
      <c r="J4" s="91"/>
      <c r="K4" s="91"/>
    </row>
    <row r="5" ht="71.25" customHeight="1">
      <c r="A5" s="92" t="str">
        <f>UPPER(CONFFLUXO!A12)</f>
        <v>IPOJUCA</v>
      </c>
      <c r="B5" s="93">
        <f>SUM(C5:C7)</f>
        <v>628</v>
      </c>
      <c r="C5" s="94">
        <f>CONFFLUXO!Q14</f>
        <v>149</v>
      </c>
      <c r="D5" s="86"/>
      <c r="E5" s="84"/>
      <c r="F5" s="84"/>
      <c r="G5" s="84"/>
      <c r="H5" s="90"/>
      <c r="I5" s="95">
        <f>CONFFLUXO!Q6</f>
        <v>64</v>
      </c>
      <c r="J5" s="96">
        <f>SUM(I5:I7)</f>
        <v>372</v>
      </c>
      <c r="K5" s="97" t="str">
        <f>UPPER(CONFFLUXO!A6)</f>
        <v>PORTO DE GALINHAS</v>
      </c>
    </row>
    <row r="6" ht="71.25" customHeight="1">
      <c r="A6" s="98"/>
      <c r="B6" s="98"/>
      <c r="C6" s="94">
        <f>CONFFLUXO!Q13</f>
        <v>185</v>
      </c>
      <c r="D6" s="86"/>
      <c r="E6" s="84"/>
      <c r="F6" s="99">
        <f>SUM(E3:G3,I5:I7,E9:G9,C5:C7)</f>
        <v>2416</v>
      </c>
      <c r="G6" s="84"/>
      <c r="H6" s="90"/>
      <c r="I6" s="95">
        <f>CONFFLUXO!Q7</f>
        <v>262</v>
      </c>
      <c r="J6" s="98"/>
      <c r="K6" s="98"/>
    </row>
    <row r="7" ht="71.25" customHeight="1">
      <c r="A7" s="100"/>
      <c r="B7" s="100"/>
      <c r="C7" s="94">
        <f>CONFFLUXO!Q12</f>
        <v>294</v>
      </c>
      <c r="D7" s="86"/>
      <c r="E7" s="84"/>
      <c r="F7" s="84"/>
      <c r="G7" s="84"/>
      <c r="H7" s="90"/>
      <c r="I7" s="95">
        <f>CONFFLUXO!Q8</f>
        <v>46</v>
      </c>
      <c r="J7" s="100"/>
      <c r="K7" s="100"/>
    </row>
    <row r="8" ht="27.0" customHeight="1">
      <c r="A8" s="86"/>
      <c r="B8" s="86"/>
      <c r="C8" s="86"/>
      <c r="D8" s="86"/>
      <c r="E8" s="84"/>
      <c r="F8" s="84"/>
      <c r="G8" s="84"/>
      <c r="H8" s="84"/>
      <c r="I8" s="84"/>
      <c r="J8" s="84"/>
      <c r="K8" s="84"/>
    </row>
    <row r="9" ht="22.5" customHeight="1">
      <c r="A9" s="86"/>
      <c r="B9" s="86"/>
      <c r="C9" s="101"/>
      <c r="D9" s="101"/>
      <c r="E9" s="102">
        <f>CONFFLUXO!Q11</f>
        <v>296</v>
      </c>
      <c r="F9" s="102">
        <f>CONFFLUXO!Q10</f>
        <v>406</v>
      </c>
      <c r="G9" s="102">
        <f>CONFFLUXO!Q9</f>
        <v>49</v>
      </c>
      <c r="H9" s="84"/>
      <c r="I9" s="84"/>
      <c r="J9" s="84"/>
      <c r="K9" s="84"/>
    </row>
    <row r="10" ht="22.5" customHeight="1">
      <c r="A10" s="86"/>
      <c r="B10" s="86"/>
      <c r="C10" s="86"/>
      <c r="D10" s="86"/>
      <c r="E10" s="103">
        <f>SUM(E9:G9)</f>
        <v>751</v>
      </c>
      <c r="F10" s="80"/>
      <c r="G10" s="81"/>
      <c r="H10" s="84"/>
      <c r="I10" s="84"/>
      <c r="J10" s="84"/>
      <c r="K10" s="84"/>
    </row>
    <row r="11" ht="22.5" customHeight="1">
      <c r="A11" s="86"/>
      <c r="B11" s="86"/>
      <c r="C11" s="86"/>
      <c r="D11" s="86"/>
      <c r="E11" s="83" t="str">
        <f>UPPER(CONFFLUXO!A9)</f>
        <v>RUA DO COLÉGIO</v>
      </c>
      <c r="F11" s="80"/>
      <c r="G11" s="81"/>
      <c r="H11" s="84"/>
      <c r="I11" s="84"/>
      <c r="J11" s="84"/>
      <c r="K11" s="104">
        <f>MAX(3:3,I:I,9:9,C:C)</f>
        <v>407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