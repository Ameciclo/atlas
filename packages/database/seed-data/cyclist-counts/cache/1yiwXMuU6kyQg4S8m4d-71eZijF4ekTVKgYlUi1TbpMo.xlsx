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Original" sheetId="3" r:id="rId6"/>
    <sheet state="visible" name="Base projeção" sheetId="4" r:id="rId7"/>
    <sheet state="hidden" name="CONFFLUXO" sheetId="5" r:id="rId8"/>
    <sheet state="visible" name="Gráficos" sheetId="6" r:id="rId9"/>
    <sheet state="visible" name="Fluxo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Projeção a partir do horário de pico
</t>
      </text>
    </comment>
  </commentList>
</comments>
</file>

<file path=xl/sharedStrings.xml><?xml version="1.0" encoding="utf-8"?>
<sst xmlns="http://schemas.openxmlformats.org/spreadsheetml/2006/main" count="214" uniqueCount="53">
  <si>
    <t>Cruzamento</t>
  </si>
  <si>
    <t>Av. Visconde de Suassuna x R. do Hospício</t>
  </si>
  <si>
    <t>Data</t>
  </si>
  <si>
    <t>Coordenadas Geográficas</t>
  </si>
  <si>
    <t>-8.05508, -34.88226</t>
  </si>
  <si>
    <t>Relatório</t>
  </si>
  <si>
    <t>https://docs.google.com/document/d/1r9pVMhuvnT2uoo3wABMjlGDwW4v1dQ-Y/edit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</si>
  <si>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</si>
  <si>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</si>
  <si>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</si>
  <si>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</si>
  <si>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</si>
  <si>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</si>
  <si>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</si>
  <si>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</si>
  <si>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</si>
  <si>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</si>
  <si>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</si>
  <si>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</si>
  <si>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</si>
  <si>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</si>
  <si>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</si>
  <si>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Santo Amaro</t>
  </si>
  <si>
    <t>Espinheiro</t>
  </si>
  <si>
    <t>Boa Vista</t>
  </si>
  <si>
    <t>Bairro do Recife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</si>
  <si>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</si>
  <si>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</si>
  <si>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</si>
  <si>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</si>
  <si>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</si>
  <si>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</si>
  <si>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</si>
  <si>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</si>
  <si>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</si>
  <si>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</si>
  <si>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</si>
  <si>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</si>
  <si>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</si>
  <si>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</si>
  <si>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</si>
  <si>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</si>
  <si>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</si>
  <si>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</si>
  <si>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Pedestre empurrando</t>
  </si>
  <si>
    <t>AUMENTO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</si>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</sst>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ont="1">
      <alignment horizontal="right" shrinkToFit="0" vertical="bottom" wrapText="0"/>
    </xf>
    <xf borderId="0" fillId="5" fontId="4" numFmtId="0" xfId="0" applyAlignment="1" applyFont="1">
      <alignment horizontal="right" shrinkToFit="0" vertical="bottom" wrapText="0"/>
    </xf>
    <xf borderId="0" fillId="4" fontId="4" numFmtId="0" xfId="0" applyAlignment="1" applyFont="1">
      <alignment horizontal="right"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10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2" pivot="0" name="Original-style">
      <tableStyleElement dxfId="1" type="firstRowStripe"/>
      <tableStyleElement dxfId="2" type="secondRowStripe"/>
    </tableStyle>
    <tableStyle count="2" pivot="0" name="Original-style 2">
      <tableStyleElement dxfId="1" type="firstRowStripe"/>
      <tableStyleElement dxfId="2" type="secondRowStripe"/>
    </tableStyle>
    <tableStyle count="2" pivot="0" name="Original-style 3">
      <tableStyleElement dxfId="1" type="firstRowStripe"/>
      <tableStyleElement dxfId="2" type="secondRowStripe"/>
    </tableStyle>
    <tableStyle count="2" pivot="0" name="Base projeção-style">
      <tableStyleElement dxfId="1" type="firstRowStripe"/>
      <tableStyleElement dxfId="2" type="secondRowStripe"/>
    </tableStyle>
    <tableStyle count="2" pivot="0" name="Base projeção-style 2">
      <tableStyleElement dxfId="1" type="firstRowStripe"/>
      <tableStyleElement dxfId="2" type="secondRowStripe"/>
    </tableStyle>
    <tableStyle count="2" pivot="0" name="Base projeção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213428122"/>
        <c:axId val="2107706842"/>
      </c:barChart>
      <c:catAx>
        <c:axId val="1213428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7706842"/>
      </c:catAx>
      <c:valAx>
        <c:axId val="2107706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3428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351284768"/>
        <c:axId val="1697216337"/>
      </c:barChart>
      <c:catAx>
        <c:axId val="351284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7216337"/>
      </c:catAx>
      <c:valAx>
        <c:axId val="16972163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1284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150039004"/>
        <c:axId val="415176323"/>
      </c:barChart>
      <c:catAx>
        <c:axId val="11500390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15176323"/>
      </c:catAx>
      <c:valAx>
        <c:axId val="4151763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00390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:P14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Original-style" showColumnStripes="0" showFirstColumn="1" showLastColumn="1" showRowStripes="1"/>
</table>
</file>

<file path=xl/tables/table5.xml><?xml version="1.0" encoding="utf-8"?>
<table xmlns="http://schemas.openxmlformats.org/spreadsheetml/2006/main" headerRowCount="0" ref="B20:P32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2" showColumnStripes="0" showFirstColumn="1" showLastColumn="1" showRowStripes="1"/>
</table>
</file>

<file path=xl/tables/table6.xml><?xml version="1.0" encoding="utf-8"?>
<table xmlns="http://schemas.openxmlformats.org/spreadsheetml/2006/main" headerRowCount="0" ref="B36:P42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Original-style 3" showColumnStripes="0" showFirstColumn="1" showLastColumn="1" showRowStripes="1"/>
</table>
</file>

<file path=xl/tables/table7.xml><?xml version="1.0" encoding="utf-8"?>
<table xmlns="http://schemas.openxmlformats.org/spreadsheetml/2006/main" headerRowCount="0" ref="A3:P14" displayName="Table_7" name="Table_7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Base projeção-style" showColumnStripes="0" showFirstColumn="1" showLastColumn="1" showRowStripes="1"/>
</table>
</file>

<file path=xl/tables/table8.xml><?xml version="1.0" encoding="utf-8"?>
<table xmlns="http://schemas.openxmlformats.org/spreadsheetml/2006/main" headerRowCount="0" ref="B20:P32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2" showColumnStripes="0" showFirstColumn="1" showLastColumn="1" showRowStripes="1"/>
</table>
</file>

<file path=xl/tables/table9.xml><?xml version="1.0" encoding="utf-8"?>
<table xmlns="http://schemas.openxmlformats.org/spreadsheetml/2006/main" headerRowCount="0" ref="B36:P42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se projeção-style 3" showColumnStripes="0" showFirstColumn="1" showLastColumn="1" showRowStripes="1"/>
</table>
</file>

<file path=xl/tables/table10.xml><?xml version="1.0" encoding="utf-8"?>
<table xmlns="http://schemas.openxmlformats.org/spreadsheetml/2006/main" ref="A12:B20" displayName="Table_10" name="Table_10" id="10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r9pVMhuvnT2uoo3wABMjlGDwW4v1dQ-Y/edit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43516.0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1532</v>
      </c>
    </row>
    <row r="6">
      <c r="A6" s="4" t="s">
        <v>8</v>
      </c>
      <c r="B6" s="7">
        <f>MAX(Dados!C15:P15)</f>
        <v>149</v>
      </c>
    </row>
    <row r="7">
      <c r="A7" s="8" t="s">
        <v>9</v>
      </c>
      <c r="B7" s="9">
        <f>Dados!R20</f>
        <v>0.08812010444</v>
      </c>
    </row>
    <row r="8">
      <c r="A8" s="8" t="s">
        <v>10</v>
      </c>
      <c r="B8" s="9">
        <f>Dados!R21</f>
        <v>0.01958224543</v>
      </c>
    </row>
    <row r="9">
      <c r="A9" s="8" t="s">
        <v>11</v>
      </c>
      <c r="B9" s="9">
        <f>Dados!R22</f>
        <v>0.04830287206</v>
      </c>
    </row>
    <row r="10">
      <c r="A10" s="8" t="s">
        <v>12</v>
      </c>
      <c r="B10" s="9">
        <f>Dados!R23</f>
        <v>0.05613577023</v>
      </c>
    </row>
    <row r="11">
      <c r="A11" s="8" t="s">
        <v>13</v>
      </c>
      <c r="B11" s="9">
        <f>Dados!R24</f>
        <v>0.204308094</v>
      </c>
    </row>
    <row r="12">
      <c r="A12" s="8" t="s">
        <v>14</v>
      </c>
      <c r="B12" s="9">
        <f>Dados!R25</f>
        <v>0.06592689295</v>
      </c>
    </row>
    <row r="13">
      <c r="A13" s="8" t="s">
        <v>15</v>
      </c>
      <c r="B13" s="9">
        <f>Dados!R26</f>
        <v>0.3518276762</v>
      </c>
    </row>
    <row r="14">
      <c r="A14" s="8" t="s">
        <v>16</v>
      </c>
      <c r="B14" s="9">
        <f>Dados!R27</f>
        <v>0.05483028721</v>
      </c>
    </row>
  </sheetData>
  <hyperlinks>
    <hyperlink r:id="rId2" ref="B4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6">
        <f>ROUND(IF(ISBLANK(Original!CD3),'Base projeção'!C3*'Base projeção'!$A$16,Original!C3),0)</f>
        <v>14</v>
      </c>
      <c r="D3" s="16">
        <f>ROUND(IF(ISBLANK(Original!CE3),'Base projeção'!D3*'Base projeção'!$A$16,Original!D3),0)</f>
        <v>17</v>
      </c>
      <c r="E3" s="16">
        <f>ROUND(IF(ISBLANK(Original!CF3),'Base projeção'!E3*'Base projeção'!$A$16,Original!E3),0)</f>
        <v>8</v>
      </c>
      <c r="F3" s="16">
        <f>ROUND(IF(ISBLANK(Original!CG3),'Base projeção'!F3*'Base projeção'!$A$16,Original!F3),0)</f>
        <v>7</v>
      </c>
      <c r="G3" s="16">
        <f>ROUND(IF(ISBLANK(Original!CH3),'Base projeção'!G3*'Base projeção'!$A$16,Original!G3),0)</f>
        <v>23</v>
      </c>
      <c r="H3" s="16">
        <f>ROUND(IF(ISBLANK(Original!CI3),'Base projeção'!H3*'Base projeção'!$A$16,Original!H3),0)</f>
        <v>13</v>
      </c>
      <c r="I3" s="16">
        <f>ROUND(IF(ISBLANK(Original!CJ3),'Base projeção'!I3*'Base projeção'!$A$16,Original!I3),0)</f>
        <v>8</v>
      </c>
      <c r="J3" s="16">
        <f>ROUND(IF(ISBLANK(Original!CK3),'Base projeção'!J3*'Base projeção'!$A$16,Original!J3),0)</f>
        <v>6</v>
      </c>
      <c r="K3" s="16">
        <f>ROUND(IF(ISBLANK(Original!CL3),'Base projeção'!K3*'Base projeção'!$A$16,Original!K3),0)</f>
        <v>17</v>
      </c>
      <c r="L3" s="16">
        <f>ROUND(IF(ISBLANK(Original!CM3),'Base projeção'!L3*'Base projeção'!$A$16,Original!L3),0)</f>
        <v>4</v>
      </c>
      <c r="M3" s="16">
        <f>ROUND(IF(ISBLANK(Original!CN3),'Base projeção'!M3*'Base projeção'!$A$16,Original!M3),0)</f>
        <v>13</v>
      </c>
      <c r="N3" s="16">
        <f>ROUND(IF(ISBLANK(Original!CO3),'Base projeção'!N3*'Base projeção'!$A$16,Original!N3),0)</f>
        <v>3</v>
      </c>
      <c r="O3" s="16">
        <f>ROUND(IF(ISBLANK(Original!CP3),'Base projeção'!O3*'Base projeção'!$A$16,Original!O3),0)</f>
        <v>6</v>
      </c>
      <c r="P3" s="16">
        <f>ROUND(IF(ISBLANK(Original!CQ3),'Base projeção'!P3*'Base projeção'!$A$16,Original!P3),0)</f>
        <v>11</v>
      </c>
      <c r="Q3" s="17">
        <f t="shared" ref="Q3:Q14" si="1">SUM(C3:P3)</f>
        <v>150</v>
      </c>
      <c r="R3" s="18">
        <f t="shared" ref="R3:R14" si="2">Q3/$Q$15</f>
        <v>0.09791122715</v>
      </c>
    </row>
    <row r="4" ht="14.25" customHeight="1">
      <c r="A4" s="15" t="s">
        <v>22</v>
      </c>
      <c r="B4" s="15" t="s">
        <v>24</v>
      </c>
      <c r="C4" s="16">
        <f>ROUND(IF(ISBLANK(Original!CD4),'Base projeção'!C4*'Base projeção'!$A$16,Original!C4),0)</f>
        <v>1</v>
      </c>
      <c r="D4" s="16">
        <f>ROUND(IF(ISBLANK(Original!CE4),'Base projeção'!D4*'Base projeção'!$A$16,Original!D4),0)</f>
        <v>1</v>
      </c>
      <c r="E4" s="16">
        <f>ROUND(IF(ISBLANK(Original!CF4),'Base projeção'!E4*'Base projeção'!$A$16,Original!E4),0)</f>
        <v>4</v>
      </c>
      <c r="F4" s="16">
        <f>ROUND(IF(ISBLANK(Original!CG4),'Base projeção'!F4*'Base projeção'!$A$16,Original!F4),0)</f>
        <v>1</v>
      </c>
      <c r="G4" s="16">
        <f>ROUND(IF(ISBLANK(Original!CH4),'Base projeção'!G4*'Base projeção'!$A$16,Original!G4),0)</f>
        <v>4</v>
      </c>
      <c r="H4" s="16">
        <f>ROUND(IF(ISBLANK(Original!CI4),'Base projeção'!H4*'Base projeção'!$A$16,Original!H4),0)</f>
        <v>1</v>
      </c>
      <c r="I4" s="16">
        <f>ROUND(IF(ISBLANK(Original!CJ4),'Base projeção'!I4*'Base projeção'!$A$16,Original!I4),0)</f>
        <v>0</v>
      </c>
      <c r="J4" s="16">
        <f>ROUND(IF(ISBLANK(Original!CK4),'Base projeção'!J4*'Base projeção'!$A$16,Original!J4),0)</f>
        <v>1</v>
      </c>
      <c r="K4" s="16">
        <f>ROUND(IF(ISBLANK(Original!CL4),'Base projeção'!K4*'Base projeção'!$A$16,Original!K4),0)</f>
        <v>0</v>
      </c>
      <c r="L4" s="16">
        <f>ROUND(IF(ISBLANK(Original!CM4),'Base projeção'!L4*'Base projeção'!$A$16,Original!L4),0)</f>
        <v>3</v>
      </c>
      <c r="M4" s="16">
        <f>ROUND(IF(ISBLANK(Original!CN4),'Base projeção'!M4*'Base projeção'!$A$16,Original!M4),0)</f>
        <v>1</v>
      </c>
      <c r="N4" s="16">
        <f>ROUND(IF(ISBLANK(Original!CO4),'Base projeção'!N4*'Base projeção'!$A$16,Original!N4),0)</f>
        <v>1</v>
      </c>
      <c r="O4" s="16">
        <f>ROUND(IF(ISBLANK(Original!CP4),'Base projeção'!O4*'Base projeção'!$A$16,Original!O4),0)</f>
        <v>1</v>
      </c>
      <c r="P4" s="16">
        <f>ROUND(IF(ISBLANK(Original!CQ4),'Base projeção'!P4*'Base projeção'!$A$16,Original!P4),0)</f>
        <v>0</v>
      </c>
      <c r="Q4" s="17">
        <f t="shared" si="1"/>
        <v>19</v>
      </c>
      <c r="R4" s="18">
        <f t="shared" si="2"/>
        <v>0.01240208877</v>
      </c>
    </row>
    <row r="5" ht="14.25" customHeight="1">
      <c r="A5" s="15" t="s">
        <v>22</v>
      </c>
      <c r="B5" s="15" t="s">
        <v>25</v>
      </c>
      <c r="C5" s="16">
        <f>ROUND(IF(ISBLANK(Original!CD5),'Base projeção'!C5*'Base projeção'!$A$16,Original!C5),0)</f>
        <v>1</v>
      </c>
      <c r="D5" s="16">
        <f>ROUND(IF(ISBLANK(Original!CE5),'Base projeção'!D5*'Base projeção'!$A$16,Original!D5),0)</f>
        <v>1</v>
      </c>
      <c r="E5" s="16">
        <f>ROUND(IF(ISBLANK(Original!CF5),'Base projeção'!E5*'Base projeção'!$A$16,Original!E5),0)</f>
        <v>0</v>
      </c>
      <c r="F5" s="16">
        <f>ROUND(IF(ISBLANK(Original!CG5),'Base projeção'!F5*'Base projeção'!$A$16,Original!F5),0)</f>
        <v>0</v>
      </c>
      <c r="G5" s="16">
        <f>ROUND(IF(ISBLANK(Original!CH5),'Base projeção'!G5*'Base projeção'!$A$16,Original!G5),0)</f>
        <v>1</v>
      </c>
      <c r="H5" s="16">
        <f>ROUND(IF(ISBLANK(Original!CI5),'Base projeção'!H5*'Base projeção'!$A$16,Original!H5),0)</f>
        <v>4</v>
      </c>
      <c r="I5" s="16">
        <f>ROUND(IF(ISBLANK(Original!CJ5),'Base projeção'!I5*'Base projeção'!$A$16,Original!I5),0)</f>
        <v>1</v>
      </c>
      <c r="J5" s="16">
        <f>ROUND(IF(ISBLANK(Original!CK5),'Base projeção'!J5*'Base projeção'!$A$16,Original!J5),0)</f>
        <v>0</v>
      </c>
      <c r="K5" s="16">
        <f>ROUND(IF(ISBLANK(Original!CL5),'Base projeção'!K5*'Base projeção'!$A$16,Original!K5),0)</f>
        <v>6</v>
      </c>
      <c r="L5" s="16">
        <f>ROUND(IF(ISBLANK(Original!CM5),'Base projeção'!L5*'Base projeção'!$A$16,Original!L5),0)</f>
        <v>1</v>
      </c>
      <c r="M5" s="16">
        <f>ROUND(IF(ISBLANK(Original!CN5),'Base projeção'!M5*'Base projeção'!$A$16,Original!M5),0)</f>
        <v>0</v>
      </c>
      <c r="N5" s="16">
        <f>ROUND(IF(ISBLANK(Original!CO5),'Base projeção'!N5*'Base projeção'!$A$16,Original!N5),0)</f>
        <v>0</v>
      </c>
      <c r="O5" s="16">
        <f>ROUND(IF(ISBLANK(Original!CP5),'Base projeção'!O5*'Base projeção'!$A$16,Original!O5),0)</f>
        <v>1</v>
      </c>
      <c r="P5" s="16">
        <f>ROUND(IF(ISBLANK(Original!CQ5),'Base projeção'!P5*'Base projeção'!$A$16,Original!P5),0)</f>
        <v>0</v>
      </c>
      <c r="Q5" s="17">
        <f t="shared" si="1"/>
        <v>16</v>
      </c>
      <c r="R5" s="18">
        <f t="shared" si="2"/>
        <v>0.01044386423</v>
      </c>
    </row>
    <row r="6" ht="14.25" customHeight="1">
      <c r="A6" s="15" t="s">
        <v>25</v>
      </c>
      <c r="B6" s="15" t="s">
        <v>22</v>
      </c>
      <c r="C6" s="16">
        <f>ROUND(IF(ISBLANK(Original!CD6),'Base projeção'!C6*'Base projeção'!$A$16,Original!C6),0)</f>
        <v>1</v>
      </c>
      <c r="D6" s="16">
        <f>ROUND(IF(ISBLANK(Original!CE6),'Base projeção'!D6*'Base projeção'!$A$16,Original!D6),0)</f>
        <v>4</v>
      </c>
      <c r="E6" s="16">
        <f>ROUND(IF(ISBLANK(Original!CF6),'Base projeção'!E6*'Base projeção'!$A$16,Original!E6),0)</f>
        <v>3</v>
      </c>
      <c r="F6" s="16">
        <f>ROUND(IF(ISBLANK(Original!CG6),'Base projeção'!F6*'Base projeção'!$A$16,Original!F6),0)</f>
        <v>1</v>
      </c>
      <c r="G6" s="16">
        <f>ROUND(IF(ISBLANK(Original!CH6),'Base projeção'!G6*'Base projeção'!$A$16,Original!G6),0)</f>
        <v>11</v>
      </c>
      <c r="H6" s="16">
        <f>ROUND(IF(ISBLANK(Original!CI6),'Base projeção'!H6*'Base projeção'!$A$16,Original!H6),0)</f>
        <v>13</v>
      </c>
      <c r="I6" s="16">
        <f>ROUND(IF(ISBLANK(Original!CJ6),'Base projeção'!I6*'Base projeção'!$A$16,Original!I6),0)</f>
        <v>4</v>
      </c>
      <c r="J6" s="16">
        <f>ROUND(IF(ISBLANK(Original!CK6),'Base projeção'!J6*'Base projeção'!$A$16,Original!J6),0)</f>
        <v>1</v>
      </c>
      <c r="K6" s="16">
        <f>ROUND(IF(ISBLANK(Original!CL6),'Base projeção'!K6*'Base projeção'!$A$16,Original!K6),0)</f>
        <v>7</v>
      </c>
      <c r="L6" s="16">
        <f>ROUND(IF(ISBLANK(Original!CM6),'Base projeção'!L6*'Base projeção'!$A$16,Original!L6),0)</f>
        <v>3</v>
      </c>
      <c r="M6" s="16">
        <f>ROUND(IF(ISBLANK(Original!CN6),'Base projeção'!M6*'Base projeção'!$A$16,Original!M6),0)</f>
        <v>0</v>
      </c>
      <c r="N6" s="16">
        <f>ROUND(IF(ISBLANK(Original!CO6),'Base projeção'!N6*'Base projeção'!$A$16,Original!N6),0)</f>
        <v>3</v>
      </c>
      <c r="O6" s="16">
        <f>ROUND(IF(ISBLANK(Original!CP6),'Base projeção'!O6*'Base projeção'!$A$16,Original!O6),0)</f>
        <v>4</v>
      </c>
      <c r="P6" s="16">
        <f>ROUND(IF(ISBLANK(Original!CQ6),'Base projeção'!P6*'Base projeção'!$A$16,Original!P6),0)</f>
        <v>7</v>
      </c>
      <c r="Q6" s="17">
        <f t="shared" si="1"/>
        <v>62</v>
      </c>
      <c r="R6" s="18">
        <f t="shared" si="2"/>
        <v>0.04046997389</v>
      </c>
    </row>
    <row r="7" ht="14.25" customHeight="1">
      <c r="A7" s="15" t="s">
        <v>25</v>
      </c>
      <c r="B7" s="15" t="s">
        <v>23</v>
      </c>
      <c r="C7" s="16">
        <f>ROUND(IF(ISBLANK(Original!CD7),'Base projeção'!C7*'Base projeção'!$A$16,Original!C7),0)</f>
        <v>23</v>
      </c>
      <c r="D7" s="16">
        <f>ROUND(IF(ISBLANK(Original!CE7),'Base projeção'!D7*'Base projeção'!$A$16,Original!D7),0)</f>
        <v>17</v>
      </c>
      <c r="E7" s="16">
        <f>ROUND(IF(ISBLANK(Original!CF7),'Base projeção'!E7*'Base projeção'!$A$16,Original!E7),0)</f>
        <v>50</v>
      </c>
      <c r="F7" s="16">
        <f>ROUND(IF(ISBLANK(Original!CG7),'Base projeção'!F7*'Base projeção'!$A$16,Original!F7),0)</f>
        <v>25</v>
      </c>
      <c r="G7" s="16">
        <f>ROUND(IF(ISBLANK(Original!CH7),'Base projeção'!G7*'Base projeção'!$A$16,Original!G7),0)</f>
        <v>16</v>
      </c>
      <c r="H7" s="16">
        <f>ROUND(IF(ISBLANK(Original!CI7),'Base projeção'!H7*'Base projeção'!$A$16,Original!H7),0)</f>
        <v>23</v>
      </c>
      <c r="I7" s="16">
        <f>ROUND(IF(ISBLANK(Original!CJ7),'Base projeção'!I7*'Base projeção'!$A$16,Original!I7),0)</f>
        <v>27</v>
      </c>
      <c r="J7" s="16">
        <f>ROUND(IF(ISBLANK(Original!CK7),'Base projeção'!J7*'Base projeção'!$A$16,Original!J7),0)</f>
        <v>21</v>
      </c>
      <c r="K7" s="16">
        <f>ROUND(IF(ISBLANK(Original!CL7),'Base projeção'!K7*'Base projeção'!$A$16,Original!K7),0)</f>
        <v>25</v>
      </c>
      <c r="L7" s="16">
        <f>ROUND(IF(ISBLANK(Original!CM7),'Base projeção'!L7*'Base projeção'!$A$16,Original!L7),0)</f>
        <v>27</v>
      </c>
      <c r="M7" s="16">
        <f>ROUND(IF(ISBLANK(Original!CN7),'Base projeção'!M7*'Base projeção'!$A$16,Original!M7),0)</f>
        <v>25</v>
      </c>
      <c r="N7" s="16">
        <f>ROUND(IF(ISBLANK(Original!CO7),'Base projeção'!N7*'Base projeção'!$A$16,Original!N7),0)</f>
        <v>23</v>
      </c>
      <c r="O7" s="16">
        <f>ROUND(IF(ISBLANK(Original!CP7),'Base projeção'!O7*'Base projeção'!$A$16,Original!O7),0)</f>
        <v>20</v>
      </c>
      <c r="P7" s="16">
        <f>ROUND(IF(ISBLANK(Original!CQ7),'Base projeção'!P7*'Base projeção'!$A$16,Original!P7),0)</f>
        <v>10</v>
      </c>
      <c r="Q7" s="17">
        <f t="shared" si="1"/>
        <v>332</v>
      </c>
      <c r="R7" s="18">
        <f t="shared" si="2"/>
        <v>0.2167101828</v>
      </c>
    </row>
    <row r="8" ht="14.25" customHeight="1">
      <c r="A8" s="15" t="s">
        <v>25</v>
      </c>
      <c r="B8" s="15" t="s">
        <v>24</v>
      </c>
      <c r="C8" s="16">
        <f>ROUND(IF(ISBLANK(Original!CD8),'Base projeção'!C8*'Base projeção'!$A$16,Original!C8),0)</f>
        <v>1</v>
      </c>
      <c r="D8" s="16">
        <f>ROUND(IF(ISBLANK(Original!CE8),'Base projeção'!D8*'Base projeção'!$A$16,Original!D8),0)</f>
        <v>4</v>
      </c>
      <c r="E8" s="16">
        <f>ROUND(IF(ISBLANK(Original!CF8),'Base projeção'!E8*'Base projeção'!$A$16,Original!E8),0)</f>
        <v>1</v>
      </c>
      <c r="F8" s="16">
        <f>ROUND(IF(ISBLANK(Original!CG8),'Base projeção'!F8*'Base projeção'!$A$16,Original!F8),0)</f>
        <v>1</v>
      </c>
      <c r="G8" s="16">
        <f>ROUND(IF(ISBLANK(Original!CH8),'Base projeção'!G8*'Base projeção'!$A$16,Original!G8),0)</f>
        <v>0</v>
      </c>
      <c r="H8" s="16">
        <f>ROUND(IF(ISBLANK(Original!CI8),'Base projeção'!H8*'Base projeção'!$A$16,Original!H8),0)</f>
        <v>0</v>
      </c>
      <c r="I8" s="16">
        <f>ROUND(IF(ISBLANK(Original!CJ8),'Base projeção'!I8*'Base projeção'!$A$16,Original!I8),0)</f>
        <v>3</v>
      </c>
      <c r="J8" s="16">
        <f>ROUND(IF(ISBLANK(Original!CK8),'Base projeção'!J8*'Base projeção'!$A$16,Original!J8),0)</f>
        <v>0</v>
      </c>
      <c r="K8" s="16">
        <f>ROUND(IF(ISBLANK(Original!CL8),'Base projeção'!K8*'Base projeção'!$A$16,Original!K8),0)</f>
        <v>4</v>
      </c>
      <c r="L8" s="16">
        <f>ROUND(IF(ISBLANK(Original!CM8),'Base projeção'!L8*'Base projeção'!$A$16,Original!L8),0)</f>
        <v>1</v>
      </c>
      <c r="M8" s="16">
        <f>ROUND(IF(ISBLANK(Original!CN8),'Base projeção'!M8*'Base projeção'!$A$16,Original!M8),0)</f>
        <v>1</v>
      </c>
      <c r="N8" s="16">
        <f>ROUND(IF(ISBLANK(Original!CO8),'Base projeção'!N8*'Base projeção'!$A$16,Original!N8),0)</f>
        <v>1</v>
      </c>
      <c r="O8" s="16">
        <f>ROUND(IF(ISBLANK(Original!CP8),'Base projeção'!O8*'Base projeção'!$A$16,Original!O8),0)</f>
        <v>0</v>
      </c>
      <c r="P8" s="16">
        <f>ROUND(IF(ISBLANK(Original!CQ8),'Base projeção'!P8*'Base projeção'!$A$16,Original!P8),0)</f>
        <v>1</v>
      </c>
      <c r="Q8" s="17">
        <f t="shared" si="1"/>
        <v>18</v>
      </c>
      <c r="R8" s="18">
        <f t="shared" si="2"/>
        <v>0.01174934726</v>
      </c>
    </row>
    <row r="9" ht="14.25" customHeight="1">
      <c r="A9" s="15" t="s">
        <v>24</v>
      </c>
      <c r="B9" s="15" t="s">
        <v>25</v>
      </c>
      <c r="C9" s="16">
        <f>ROUND(IF(ISBLANK(Original!CD9),'Base projeção'!C9*'Base projeção'!$A$16,Original!C9),0)</f>
        <v>0</v>
      </c>
      <c r="D9" s="16">
        <f>ROUND(IF(ISBLANK(Original!CE9),'Base projeção'!D9*'Base projeção'!$A$16,Original!D9),0)</f>
        <v>3</v>
      </c>
      <c r="E9" s="16">
        <f>ROUND(IF(ISBLANK(Original!CF9),'Base projeção'!E9*'Base projeção'!$A$16,Original!E9),0)</f>
        <v>1</v>
      </c>
      <c r="F9" s="16">
        <f>ROUND(IF(ISBLANK(Original!CG9),'Base projeção'!F9*'Base projeção'!$A$16,Original!F9),0)</f>
        <v>6</v>
      </c>
      <c r="G9" s="16">
        <f>ROUND(IF(ISBLANK(Original!CH9),'Base projeção'!G9*'Base projeção'!$A$16,Original!G9),0)</f>
        <v>3</v>
      </c>
      <c r="H9" s="16">
        <f>ROUND(IF(ISBLANK(Original!CI9),'Base projeção'!H9*'Base projeção'!$A$16,Original!H9),0)</f>
        <v>1</v>
      </c>
      <c r="I9" s="16">
        <f>ROUND(IF(ISBLANK(Original!CJ9),'Base projeção'!I9*'Base projeção'!$A$16,Original!I9),0)</f>
        <v>3</v>
      </c>
      <c r="J9" s="16">
        <f>ROUND(IF(ISBLANK(Original!CK9),'Base projeção'!J9*'Base projeção'!$A$16,Original!J9),0)</f>
        <v>0</v>
      </c>
      <c r="K9" s="16">
        <f>ROUND(IF(ISBLANK(Original!CL9),'Base projeção'!K9*'Base projeção'!$A$16,Original!K9),0)</f>
        <v>4</v>
      </c>
      <c r="L9" s="16">
        <f>ROUND(IF(ISBLANK(Original!CM9),'Base projeção'!L9*'Base projeção'!$A$16,Original!L9),0)</f>
        <v>0</v>
      </c>
      <c r="M9" s="16">
        <f>ROUND(IF(ISBLANK(Original!CN9),'Base projeção'!M9*'Base projeção'!$A$16,Original!M9),0)</f>
        <v>6</v>
      </c>
      <c r="N9" s="16">
        <f>ROUND(IF(ISBLANK(Original!CO9),'Base projeção'!N9*'Base projeção'!$A$16,Original!N9),0)</f>
        <v>6</v>
      </c>
      <c r="O9" s="16">
        <f>ROUND(IF(ISBLANK(Original!CP9),'Base projeção'!O9*'Base projeção'!$A$16,Original!O9),0)</f>
        <v>6</v>
      </c>
      <c r="P9" s="16">
        <f>ROUND(IF(ISBLANK(Original!CQ9),'Base projeção'!P9*'Base projeção'!$A$16,Original!P9),0)</f>
        <v>4</v>
      </c>
      <c r="Q9" s="17">
        <f t="shared" si="1"/>
        <v>43</v>
      </c>
      <c r="R9" s="18">
        <f t="shared" si="2"/>
        <v>0.02806788512</v>
      </c>
    </row>
    <row r="10" ht="14.25" customHeight="1">
      <c r="A10" s="15" t="s">
        <v>24</v>
      </c>
      <c r="B10" s="15" t="s">
        <v>22</v>
      </c>
      <c r="C10" s="16">
        <f>ROUND(IF(ISBLANK(Original!CD10),'Base projeção'!C10*'Base projeção'!$A$16,Original!C10),0)</f>
        <v>4</v>
      </c>
      <c r="D10" s="16">
        <f>ROUND(IF(ISBLANK(Original!CE10),'Base projeção'!D10*'Base projeção'!$A$16,Original!D10),0)</f>
        <v>18</v>
      </c>
      <c r="E10" s="16">
        <f>ROUND(IF(ISBLANK(Original!CF10),'Base projeção'!E10*'Base projeção'!$A$16,Original!E10),0)</f>
        <v>11</v>
      </c>
      <c r="F10" s="16">
        <f>ROUND(IF(ISBLANK(Original!CG10),'Base projeção'!F10*'Base projeção'!$A$16,Original!F10),0)</f>
        <v>20</v>
      </c>
      <c r="G10" s="16">
        <f>ROUND(IF(ISBLANK(Original!CH10),'Base projeção'!G10*'Base projeção'!$A$16,Original!G10),0)</f>
        <v>14</v>
      </c>
      <c r="H10" s="16">
        <f>ROUND(IF(ISBLANK(Original!CI10),'Base projeção'!H10*'Base projeção'!$A$16,Original!H10),0)</f>
        <v>10</v>
      </c>
      <c r="I10" s="16">
        <f>ROUND(IF(ISBLANK(Original!CJ10),'Base projeção'!I10*'Base projeção'!$A$16,Original!I10),0)</f>
        <v>14</v>
      </c>
      <c r="J10" s="16">
        <f>ROUND(IF(ISBLANK(Original!CK10),'Base projeção'!J10*'Base projeção'!$A$16,Original!J10),0)</f>
        <v>8</v>
      </c>
      <c r="K10" s="16">
        <f>ROUND(IF(ISBLANK(Original!CL10),'Base projeção'!K10*'Base projeção'!$A$16,Original!K10),0)</f>
        <v>16</v>
      </c>
      <c r="L10" s="16">
        <f>ROUND(IF(ISBLANK(Original!CM10),'Base projeção'!L10*'Base projeção'!$A$16,Original!L10),0)</f>
        <v>14</v>
      </c>
      <c r="M10" s="16">
        <f>ROUND(IF(ISBLANK(Original!CN10),'Base projeção'!M10*'Base projeção'!$A$16,Original!M10),0)</f>
        <v>28</v>
      </c>
      <c r="N10" s="16">
        <f>ROUND(IF(ISBLANK(Original!CO10),'Base projeção'!N10*'Base projeção'!$A$16,Original!N10),0)</f>
        <v>31</v>
      </c>
      <c r="O10" s="16">
        <f>ROUND(IF(ISBLANK(Original!CP10),'Base projeção'!O10*'Base projeção'!$A$16,Original!O10),0)</f>
        <v>38</v>
      </c>
      <c r="P10" s="16">
        <f>ROUND(IF(ISBLANK(Original!CQ10),'Base projeção'!P10*'Base projeção'!$A$16,Original!P10),0)</f>
        <v>23</v>
      </c>
      <c r="Q10" s="17">
        <f t="shared" si="1"/>
        <v>249</v>
      </c>
      <c r="R10" s="18">
        <f t="shared" si="2"/>
        <v>0.1625326371</v>
      </c>
    </row>
    <row r="11" ht="14.25" customHeight="1">
      <c r="A11" s="15" t="s">
        <v>24</v>
      </c>
      <c r="B11" s="15" t="s">
        <v>23</v>
      </c>
      <c r="C11" s="16">
        <f>ROUND(IF(ISBLANK(Original!CD11),'Base projeção'!C11*'Base projeção'!$A$16,Original!C11),0)</f>
        <v>1</v>
      </c>
      <c r="D11" s="16">
        <f>ROUND(IF(ISBLANK(Original!CE11),'Base projeção'!D11*'Base projeção'!$A$16,Original!D11),0)</f>
        <v>1</v>
      </c>
      <c r="E11" s="16">
        <f>ROUND(IF(ISBLANK(Original!CF11),'Base projeção'!E11*'Base projeção'!$A$16,Original!E11),0)</f>
        <v>3</v>
      </c>
      <c r="F11" s="16">
        <f>ROUND(IF(ISBLANK(Original!CG11),'Base projeção'!F11*'Base projeção'!$A$16,Original!F11),0)</f>
        <v>3</v>
      </c>
      <c r="G11" s="16">
        <f>ROUND(IF(ISBLANK(Original!CH11),'Base projeção'!G11*'Base projeção'!$A$16,Original!G11),0)</f>
        <v>3</v>
      </c>
      <c r="H11" s="16">
        <f>ROUND(IF(ISBLANK(Original!CI11),'Base projeção'!H11*'Base projeção'!$A$16,Original!H11),0)</f>
        <v>1</v>
      </c>
      <c r="I11" s="16">
        <f>ROUND(IF(ISBLANK(Original!CJ11),'Base projeção'!I11*'Base projeção'!$A$16,Original!I11),0)</f>
        <v>4</v>
      </c>
      <c r="J11" s="16">
        <f>ROUND(IF(ISBLANK(Original!CK11),'Base projeção'!J11*'Base projeção'!$A$16,Original!J11),0)</f>
        <v>1</v>
      </c>
      <c r="K11" s="16">
        <f>ROUND(IF(ISBLANK(Original!CL11),'Base projeção'!K11*'Base projeção'!$A$16,Original!K11),0)</f>
        <v>1</v>
      </c>
      <c r="L11" s="16">
        <f>ROUND(IF(ISBLANK(Original!CM11),'Base projeção'!L11*'Base projeção'!$A$16,Original!L11),0)</f>
        <v>0</v>
      </c>
      <c r="M11" s="16">
        <f>ROUND(IF(ISBLANK(Original!CN11),'Base projeção'!M11*'Base projeção'!$A$16,Original!M11),0)</f>
        <v>1</v>
      </c>
      <c r="N11" s="16">
        <f>ROUND(IF(ISBLANK(Original!CO11),'Base projeção'!N11*'Base projeção'!$A$16,Original!N11),0)</f>
        <v>4</v>
      </c>
      <c r="O11" s="16">
        <f>ROUND(IF(ISBLANK(Original!CP11),'Base projeção'!O11*'Base projeção'!$A$16,Original!O11),0)</f>
        <v>4</v>
      </c>
      <c r="P11" s="16">
        <f>ROUND(IF(ISBLANK(Original!CQ11),'Base projeção'!P11*'Base projeção'!$A$16,Original!P11),0)</f>
        <v>0</v>
      </c>
      <c r="Q11" s="17">
        <f t="shared" si="1"/>
        <v>27</v>
      </c>
      <c r="R11" s="18">
        <f t="shared" si="2"/>
        <v>0.01762402089</v>
      </c>
    </row>
    <row r="12" ht="14.25" customHeight="1">
      <c r="A12" s="15" t="s">
        <v>23</v>
      </c>
      <c r="B12" s="15" t="s">
        <v>24</v>
      </c>
      <c r="C12" s="16">
        <f>ROUND(IF(ISBLANK(Original!CD12),'Base projeção'!C12*'Base projeção'!$A$16,Original!C12),0)</f>
        <v>3</v>
      </c>
      <c r="D12" s="16">
        <f>ROUND(IF(ISBLANK(Original!CE12),'Base projeção'!D12*'Base projeção'!$A$16,Original!D12),0)</f>
        <v>0</v>
      </c>
      <c r="E12" s="16">
        <f>ROUND(IF(ISBLANK(Original!CF12),'Base projeção'!E12*'Base projeção'!$A$16,Original!E12),0)</f>
        <v>1</v>
      </c>
      <c r="F12" s="16">
        <f>ROUND(IF(ISBLANK(Original!CG12),'Base projeção'!F12*'Base projeção'!$A$16,Original!F12),0)</f>
        <v>3</v>
      </c>
      <c r="G12" s="16">
        <f>ROUND(IF(ISBLANK(Original!CH12),'Base projeção'!G12*'Base projeção'!$A$16,Original!G12),0)</f>
        <v>4</v>
      </c>
      <c r="H12" s="16">
        <f>ROUND(IF(ISBLANK(Original!CI12),'Base projeção'!H12*'Base projeção'!$A$16,Original!H12),0)</f>
        <v>6</v>
      </c>
      <c r="I12" s="16">
        <f>ROUND(IF(ISBLANK(Original!CJ12),'Base projeção'!I12*'Base projeção'!$A$16,Original!I12),0)</f>
        <v>1</v>
      </c>
      <c r="J12" s="16">
        <f>ROUND(IF(ISBLANK(Original!CK12),'Base projeção'!J12*'Base projeção'!$A$16,Original!J12),0)</f>
        <v>4</v>
      </c>
      <c r="K12" s="16">
        <f>ROUND(IF(ISBLANK(Original!CL12),'Base projeção'!K12*'Base projeção'!$A$16,Original!K12),0)</f>
        <v>3</v>
      </c>
      <c r="L12" s="16">
        <f>ROUND(IF(ISBLANK(Original!CM12),'Base projeção'!L12*'Base projeção'!$A$16,Original!L12),0)</f>
        <v>1</v>
      </c>
      <c r="M12" s="16">
        <f>ROUND(IF(ISBLANK(Original!CN12),'Base projeção'!M12*'Base projeção'!$A$16,Original!M12),0)</f>
        <v>4</v>
      </c>
      <c r="N12" s="16">
        <f>ROUND(IF(ISBLANK(Original!CO12),'Base projeção'!N12*'Base projeção'!$A$16,Original!N12),0)</f>
        <v>0</v>
      </c>
      <c r="O12" s="16">
        <f>ROUND(IF(ISBLANK(Original!CP12),'Base projeção'!O12*'Base projeção'!$A$16,Original!O12),0)</f>
        <v>1</v>
      </c>
      <c r="P12" s="16">
        <f>ROUND(IF(ISBLANK(Original!CQ12),'Base projeção'!P12*'Base projeção'!$A$16,Original!P12),0)</f>
        <v>0</v>
      </c>
      <c r="Q12" s="17">
        <f t="shared" si="1"/>
        <v>31</v>
      </c>
      <c r="R12" s="18">
        <f t="shared" si="2"/>
        <v>0.02023498695</v>
      </c>
    </row>
    <row r="13" ht="14.25" customHeight="1">
      <c r="A13" s="15" t="s">
        <v>23</v>
      </c>
      <c r="B13" s="15" t="s">
        <v>25</v>
      </c>
      <c r="C13" s="16">
        <f>ROUND(IF(ISBLANK(Original!CD13),'Base projeção'!C13*'Base projeção'!$A$16,Original!C13),0)</f>
        <v>16</v>
      </c>
      <c r="D13" s="16">
        <f>ROUND(IF(ISBLANK(Original!CE13),'Base projeção'!D13*'Base projeção'!$A$16,Original!D13),0)</f>
        <v>16</v>
      </c>
      <c r="E13" s="16">
        <f>ROUND(IF(ISBLANK(Original!CF13),'Base projeção'!E13*'Base projeção'!$A$16,Original!E13),0)</f>
        <v>4</v>
      </c>
      <c r="F13" s="16">
        <f>ROUND(IF(ISBLANK(Original!CG13),'Base projeção'!F13*'Base projeção'!$A$16,Original!F13),0)</f>
        <v>17</v>
      </c>
      <c r="G13" s="16">
        <f>ROUND(IF(ISBLANK(Original!CH13),'Base projeção'!G13*'Base projeção'!$A$16,Original!G13),0)</f>
        <v>17</v>
      </c>
      <c r="H13" s="16">
        <f>ROUND(IF(ISBLANK(Original!CI13),'Base projeção'!H13*'Base projeção'!$A$16,Original!H13),0)</f>
        <v>14</v>
      </c>
      <c r="I13" s="16">
        <f>ROUND(IF(ISBLANK(Original!CJ13),'Base projeção'!I13*'Base projeção'!$A$16,Original!I13),0)</f>
        <v>25</v>
      </c>
      <c r="J13" s="16">
        <f>ROUND(IF(ISBLANK(Original!CK13),'Base projeção'!J13*'Base projeção'!$A$16,Original!J13),0)</f>
        <v>13</v>
      </c>
      <c r="K13" s="16">
        <f>ROUND(IF(ISBLANK(Original!CL13),'Base projeção'!K13*'Base projeção'!$A$16,Original!K13),0)</f>
        <v>10</v>
      </c>
      <c r="L13" s="16">
        <f>ROUND(IF(ISBLANK(Original!CM13),'Base projeção'!L13*'Base projeção'!$A$16,Original!L13),0)</f>
        <v>18</v>
      </c>
      <c r="M13" s="16">
        <f>ROUND(IF(ISBLANK(Original!CN13),'Base projeção'!M13*'Base projeção'!$A$16,Original!M13),0)</f>
        <v>14</v>
      </c>
      <c r="N13" s="16">
        <f>ROUND(IF(ISBLANK(Original!CO13),'Base projeção'!N13*'Base projeção'!$A$16,Original!N13),0)</f>
        <v>25</v>
      </c>
      <c r="O13" s="16">
        <f>ROUND(IF(ISBLANK(Original!CP13),'Base projeção'!O13*'Base projeção'!$A$16,Original!O13),0)</f>
        <v>16</v>
      </c>
      <c r="P13" s="16">
        <f>ROUND(IF(ISBLANK(Original!CQ13),'Base projeção'!P13*'Base projeção'!$A$16,Original!P13),0)</f>
        <v>7</v>
      </c>
      <c r="Q13" s="17">
        <f t="shared" si="1"/>
        <v>212</v>
      </c>
      <c r="R13" s="18">
        <f t="shared" si="2"/>
        <v>0.138381201</v>
      </c>
    </row>
    <row r="14" ht="14.25" customHeight="1">
      <c r="A14" s="15" t="s">
        <v>23</v>
      </c>
      <c r="B14" s="15" t="s">
        <v>22</v>
      </c>
      <c r="C14" s="16">
        <f>ROUND(IF(ISBLANK(Original!CD14),'Base projeção'!C14*'Base projeção'!$A$16,Original!C14),0)</f>
        <v>14</v>
      </c>
      <c r="D14" s="16">
        <f>ROUND(IF(ISBLANK(Original!CE14),'Base projeção'!D14*'Base projeção'!$A$16,Original!D14),0)</f>
        <v>7</v>
      </c>
      <c r="E14" s="16">
        <f>ROUND(IF(ISBLANK(Original!CF14),'Base projeção'!E14*'Base projeção'!$A$16,Original!E14),0)</f>
        <v>17</v>
      </c>
      <c r="F14" s="16">
        <f>ROUND(IF(ISBLANK(Original!CG14),'Base projeção'!F14*'Base projeção'!$A$16,Original!F14),0)</f>
        <v>16</v>
      </c>
      <c r="G14" s="16">
        <f>ROUND(IF(ISBLANK(Original!CH14),'Base projeção'!G14*'Base projeção'!$A$16,Original!G14),0)</f>
        <v>20</v>
      </c>
      <c r="H14" s="16">
        <f>ROUND(IF(ISBLANK(Original!CI14),'Base projeção'!H14*'Base projeção'!$A$16,Original!H14),0)</f>
        <v>44</v>
      </c>
      <c r="I14" s="16">
        <f>ROUND(IF(ISBLANK(Original!CJ14),'Base projeção'!I14*'Base projeção'!$A$16,Original!I14),0)</f>
        <v>44</v>
      </c>
      <c r="J14" s="16">
        <f>ROUND(IF(ISBLANK(Original!CK14),'Base projeção'!J14*'Base projeção'!$A$16,Original!J14),0)</f>
        <v>21</v>
      </c>
      <c r="K14" s="16">
        <f>ROUND(IF(ISBLANK(Original!CL14),'Base projeção'!K14*'Base projeção'!$A$16,Original!K14),0)</f>
        <v>20</v>
      </c>
      <c r="L14" s="16">
        <f>ROUND(IF(ISBLANK(Original!CM14),'Base projeção'!L14*'Base projeção'!$A$16,Original!L14),0)</f>
        <v>27</v>
      </c>
      <c r="M14" s="16">
        <f>ROUND(IF(ISBLANK(Original!CN14),'Base projeção'!M14*'Base projeção'!$A$16,Original!M14),0)</f>
        <v>21</v>
      </c>
      <c r="N14" s="16">
        <f>ROUND(IF(ISBLANK(Original!CO14),'Base projeção'!N14*'Base projeção'!$A$16,Original!N14),0)</f>
        <v>52</v>
      </c>
      <c r="O14" s="16">
        <f>ROUND(IF(ISBLANK(Original!CP14),'Base projeção'!O14*'Base projeção'!$A$16,Original!O14),0)</f>
        <v>40</v>
      </c>
      <c r="P14" s="16">
        <f>ROUND(IF(ISBLANK(Original!CQ14),'Base projeção'!P14*'Base projeção'!$A$16,Original!P14),0)</f>
        <v>30</v>
      </c>
      <c r="Q14" s="17">
        <f t="shared" si="1"/>
        <v>373</v>
      </c>
      <c r="R14" s="18">
        <f t="shared" si="2"/>
        <v>0.2434725849</v>
      </c>
    </row>
    <row r="15" ht="14.25" customHeight="1">
      <c r="A15" s="19"/>
      <c r="B15" s="19" t="s">
        <v>20</v>
      </c>
      <c r="C15" s="17">
        <f t="shared" ref="C15:Q15" si="3">SUM(C$3:C$14)</f>
        <v>79</v>
      </c>
      <c r="D15" s="17">
        <f t="shared" si="3"/>
        <v>89</v>
      </c>
      <c r="E15" s="17">
        <f t="shared" si="3"/>
        <v>103</v>
      </c>
      <c r="F15" s="17">
        <f t="shared" si="3"/>
        <v>100</v>
      </c>
      <c r="G15" s="17">
        <f t="shared" si="3"/>
        <v>116</v>
      </c>
      <c r="H15" s="17">
        <f t="shared" si="3"/>
        <v>130</v>
      </c>
      <c r="I15" s="17">
        <f t="shared" si="3"/>
        <v>134</v>
      </c>
      <c r="J15" s="17">
        <f t="shared" si="3"/>
        <v>76</v>
      </c>
      <c r="K15" s="17">
        <f t="shared" si="3"/>
        <v>113</v>
      </c>
      <c r="L15" s="17">
        <f t="shared" si="3"/>
        <v>99</v>
      </c>
      <c r="M15" s="17">
        <f t="shared" si="3"/>
        <v>114</v>
      </c>
      <c r="N15" s="17">
        <f t="shared" si="3"/>
        <v>149</v>
      </c>
      <c r="O15" s="17">
        <f t="shared" si="3"/>
        <v>137</v>
      </c>
      <c r="P15" s="17">
        <f t="shared" si="3"/>
        <v>93</v>
      </c>
      <c r="Q15" s="17">
        <f t="shared" si="3"/>
        <v>1532</v>
      </c>
      <c r="R15" s="18"/>
    </row>
    <row r="16" ht="13.5" customHeight="1">
      <c r="A16" s="20"/>
      <c r="B16" s="20" t="s">
        <v>26</v>
      </c>
      <c r="C16" s="21">
        <f t="shared" ref="C16:P16" si="4">C15/$Q$15</f>
        <v>0.05156657963</v>
      </c>
      <c r="D16" s="21">
        <f t="shared" si="4"/>
        <v>0.05809399478</v>
      </c>
      <c r="E16" s="21">
        <f t="shared" si="4"/>
        <v>0.06723237598</v>
      </c>
      <c r="F16" s="21">
        <f t="shared" si="4"/>
        <v>0.06527415144</v>
      </c>
      <c r="G16" s="21">
        <f t="shared" si="4"/>
        <v>0.07571801567</v>
      </c>
      <c r="H16" s="21">
        <f t="shared" si="4"/>
        <v>0.08485639687</v>
      </c>
      <c r="I16" s="21">
        <f t="shared" si="4"/>
        <v>0.08746736292</v>
      </c>
      <c r="J16" s="21">
        <f t="shared" si="4"/>
        <v>0.04960835509</v>
      </c>
      <c r="K16" s="21">
        <f t="shared" si="4"/>
        <v>0.07375979112</v>
      </c>
      <c r="L16" s="21">
        <f t="shared" si="4"/>
        <v>0.06462140992</v>
      </c>
      <c r="M16" s="21">
        <f t="shared" si="4"/>
        <v>0.07441253264</v>
      </c>
      <c r="N16" s="21">
        <f t="shared" si="4"/>
        <v>0.09725848564</v>
      </c>
      <c r="O16" s="21">
        <f t="shared" si="4"/>
        <v>0.08942558747</v>
      </c>
      <c r="P16" s="21">
        <f t="shared" si="4"/>
        <v>0.06070496084</v>
      </c>
      <c r="Q16" s="21">
        <f>SUM(C16:P16)</f>
        <v>1</v>
      </c>
      <c r="R16" s="18"/>
    </row>
    <row r="17" ht="13.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4"/>
    </row>
    <row r="18" ht="12.0" customHeight="1">
      <c r="A18" s="10" t="s">
        <v>27</v>
      </c>
    </row>
    <row r="19" ht="12.0" customHeight="1">
      <c r="A19" s="25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6"/>
      <c r="B20" s="15" t="s">
        <v>9</v>
      </c>
      <c r="C20" s="16">
        <f>ROUND(IF(ISBLANK(Original!C20),'Base projeção'!C20*'Base projeção'!$A$16,Original!C20),0)</f>
        <v>6</v>
      </c>
      <c r="D20" s="16">
        <f>ROUND(IF(ISBLANK(Original!D20),'Base projeção'!D20*'Base projeção'!$A$16,Original!D20),0)</f>
        <v>13</v>
      </c>
      <c r="E20" s="16">
        <f>ROUND(IF(ISBLANK(Original!E20),'Base projeção'!E20*'Base projeção'!$A$16,Original!E20),0)</f>
        <v>13</v>
      </c>
      <c r="F20" s="16">
        <f>ROUND(IF(ISBLANK(Original!F20),'Base projeção'!F20*'Base projeção'!$A$16,Original!F20),0)</f>
        <v>1</v>
      </c>
      <c r="G20" s="16">
        <f>ROUND(IF(ISBLANK(Original!G20),'Base projeção'!G20*'Base projeção'!$A$16,Original!G20),0)</f>
        <v>6</v>
      </c>
      <c r="H20" s="16">
        <f>ROUND(IF(ISBLANK(Original!H20),'Base projeção'!H20*'Base projeção'!$A$16,Original!H20),0)</f>
        <v>8</v>
      </c>
      <c r="I20" s="16">
        <f>ROUND(IF(ISBLANK(Original!I20),'Base projeção'!I20*'Base projeção'!$A$16,Original!I20),0)</f>
        <v>15</v>
      </c>
      <c r="J20" s="16">
        <f>ROUND(IF(ISBLANK(Original!J20),'Base projeção'!J20*'Base projeção'!$A$16,Original!J20),0)</f>
        <v>8</v>
      </c>
      <c r="K20" s="16">
        <f>ROUND(IF(ISBLANK(Original!K20),'Base projeção'!K20*'Base projeção'!$A$16,Original!K20),0)</f>
        <v>10</v>
      </c>
      <c r="L20" s="16">
        <f>ROUND(IF(ISBLANK(Original!L20),'Base projeção'!L20*'Base projeção'!$A$16,Original!L20),0)</f>
        <v>1</v>
      </c>
      <c r="M20" s="16">
        <f>ROUND(IF(ISBLANK(Original!M20),'Base projeção'!M20*'Base projeção'!$A$16,Original!M20),0)</f>
        <v>13</v>
      </c>
      <c r="N20" s="16">
        <f>ROUND(IF(ISBLANK(Original!N20),'Base projeção'!N20*'Base projeção'!$A$16,Original!N20),0)</f>
        <v>18</v>
      </c>
      <c r="O20" s="16">
        <f>ROUND(IF(ISBLANK(Original!O20),'Base projeção'!O20*'Base projeção'!$A$16,Original!O20),0)</f>
        <v>15</v>
      </c>
      <c r="P20" s="16">
        <f>ROUND(IF(ISBLANK(Original!P20),'Base projeção'!P20*'Base projeção'!$A$16,Original!P20),0)</f>
        <v>8</v>
      </c>
      <c r="Q20" s="13">
        <f t="shared" ref="Q20:Q27" si="5">SUM(C20:P20)</f>
        <v>135</v>
      </c>
      <c r="R20" s="14">
        <f t="shared" ref="R20:R27" si="6">Q20/$Q$15</f>
        <v>0.08812010444</v>
      </c>
    </row>
    <row r="21" ht="14.25" customHeight="1">
      <c r="A21" s="26"/>
      <c r="B21" s="15" t="s">
        <v>10</v>
      </c>
      <c r="C21" s="16">
        <f>ROUND(IF(ISBLANK(Original!C21),'Base projeção'!C21*'Base projeção'!$A$16,Original!C21),0)</f>
        <v>0</v>
      </c>
      <c r="D21" s="16">
        <f>ROUND(IF(ISBLANK(Original!D21),'Base projeção'!D21*'Base projeção'!$A$16,Original!D21),0)</f>
        <v>0</v>
      </c>
      <c r="E21" s="16">
        <f>ROUND(IF(ISBLANK(Original!E21),'Base projeção'!E21*'Base projeção'!$A$16,Original!E21),0)</f>
        <v>0</v>
      </c>
      <c r="F21" s="16">
        <f>ROUND(IF(ISBLANK(Original!F21),'Base projeção'!F21*'Base projeção'!$A$16,Original!F21),0)</f>
        <v>0</v>
      </c>
      <c r="G21" s="16">
        <f>ROUND(IF(ISBLANK(Original!G21),'Base projeção'!G21*'Base projeção'!$A$16,Original!G21),0)</f>
        <v>1</v>
      </c>
      <c r="H21" s="16">
        <f>ROUND(IF(ISBLANK(Original!H21),'Base projeção'!H21*'Base projeção'!$A$16,Original!H21),0)</f>
        <v>6</v>
      </c>
      <c r="I21" s="16">
        <f>ROUND(IF(ISBLANK(Original!I21),'Base projeção'!I21*'Base projeção'!$A$16,Original!I21),0)</f>
        <v>2</v>
      </c>
      <c r="J21" s="16">
        <f>ROUND(IF(ISBLANK(Original!J21),'Base projeção'!J21*'Base projeção'!$A$16,Original!J21),0)</f>
        <v>1</v>
      </c>
      <c r="K21" s="16">
        <f>ROUND(IF(ISBLANK(Original!K21),'Base projeção'!K21*'Base projeção'!$A$16,Original!K21),0)</f>
        <v>4</v>
      </c>
      <c r="L21" s="16">
        <f>ROUND(IF(ISBLANK(Original!L21),'Base projeção'!L21*'Base projeção'!$A$16,Original!L21),0)</f>
        <v>0</v>
      </c>
      <c r="M21" s="16">
        <f>ROUND(IF(ISBLANK(Original!M21),'Base projeção'!M21*'Base projeção'!$A$16,Original!M21),0)</f>
        <v>0</v>
      </c>
      <c r="N21" s="16">
        <f>ROUND(IF(ISBLANK(Original!N21),'Base projeção'!N21*'Base projeção'!$A$16,Original!N21),0)</f>
        <v>1</v>
      </c>
      <c r="O21" s="16">
        <f>ROUND(IF(ISBLANK(Original!O21),'Base projeção'!O21*'Base projeção'!$A$16,Original!O21),0)</f>
        <v>11</v>
      </c>
      <c r="P21" s="16">
        <f>ROUND(IF(ISBLANK(Original!P21),'Base projeção'!P21*'Base projeção'!$A$16,Original!P21),0)</f>
        <v>4</v>
      </c>
      <c r="Q21" s="13">
        <f t="shared" si="5"/>
        <v>30</v>
      </c>
      <c r="R21" s="14">
        <f t="shared" si="6"/>
        <v>0.01958224543</v>
      </c>
    </row>
    <row r="22" ht="14.25" customHeight="1">
      <c r="A22" s="26"/>
      <c r="B22" s="15" t="s">
        <v>11</v>
      </c>
      <c r="C22" s="16">
        <f>ROUND(IF(ISBLANK(Original!C22),'Base projeção'!C22*'Base projeção'!$A$16,Original!C22),0)</f>
        <v>3</v>
      </c>
      <c r="D22" s="16">
        <f>ROUND(IF(ISBLANK(Original!D22),'Base projeção'!D22*'Base projeção'!$A$16,Original!D22),0)</f>
        <v>0</v>
      </c>
      <c r="E22" s="16">
        <f>ROUND(IF(ISBLANK(Original!E22),'Base projeção'!E22*'Base projeção'!$A$16,Original!E22),0)</f>
        <v>7</v>
      </c>
      <c r="F22" s="16">
        <f>ROUND(IF(ISBLANK(Original!F22),'Base projeção'!F22*'Base projeção'!$A$16,Original!F22),0)</f>
        <v>3</v>
      </c>
      <c r="G22" s="16">
        <f>ROUND(IF(ISBLANK(Original!G22),'Base projeção'!G22*'Base projeção'!$A$16,Original!G22),0)</f>
        <v>6</v>
      </c>
      <c r="H22" s="16">
        <f>ROUND(IF(ISBLANK(Original!H22),'Base projeção'!H22*'Base projeção'!$A$16,Original!H22),0)</f>
        <v>8</v>
      </c>
      <c r="I22" s="16">
        <f>ROUND(IF(ISBLANK(Original!I22),'Base projeção'!I22*'Base projeção'!$A$16,Original!I22),0)</f>
        <v>4</v>
      </c>
      <c r="J22" s="16">
        <f>ROUND(IF(ISBLANK(Original!J22),'Base projeção'!J22*'Base projeção'!$A$16,Original!J22),0)</f>
        <v>0</v>
      </c>
      <c r="K22" s="16">
        <f>ROUND(IF(ISBLANK(Original!K22),'Base projeção'!K22*'Base projeção'!$A$16,Original!K22),0)</f>
        <v>6</v>
      </c>
      <c r="L22" s="16">
        <f>ROUND(IF(ISBLANK(Original!L22),'Base projeção'!L22*'Base projeção'!$A$16,Original!L22),0)</f>
        <v>3</v>
      </c>
      <c r="M22" s="16">
        <f>ROUND(IF(ISBLANK(Original!M22),'Base projeção'!M22*'Base projeção'!$A$16,Original!M22),0)</f>
        <v>8</v>
      </c>
      <c r="N22" s="16">
        <f>ROUND(IF(ISBLANK(Original!N22),'Base projeção'!N22*'Base projeção'!$A$16,Original!N22),0)</f>
        <v>14</v>
      </c>
      <c r="O22" s="16">
        <f>ROUND(IF(ISBLANK(Original!O22),'Base projeção'!O22*'Base projeção'!$A$16,Original!O22),0)</f>
        <v>8</v>
      </c>
      <c r="P22" s="16">
        <f>ROUND(IF(ISBLANK(Original!P22),'Base projeção'!P22*'Base projeção'!$A$16,Original!P22),0)</f>
        <v>4</v>
      </c>
      <c r="Q22" s="13">
        <f t="shared" si="5"/>
        <v>74</v>
      </c>
      <c r="R22" s="14">
        <f t="shared" si="6"/>
        <v>0.04830287206</v>
      </c>
    </row>
    <row r="23" ht="14.25" customHeight="1">
      <c r="A23" s="26"/>
      <c r="B23" s="27" t="s">
        <v>12</v>
      </c>
      <c r="C23" s="28">
        <f t="shared" ref="C23:P23" si="7">SUM(C31:C33)</f>
        <v>4</v>
      </c>
      <c r="D23" s="28">
        <f t="shared" si="7"/>
        <v>11</v>
      </c>
      <c r="E23" s="28">
        <f t="shared" si="7"/>
        <v>1</v>
      </c>
      <c r="F23" s="28">
        <f t="shared" si="7"/>
        <v>4</v>
      </c>
      <c r="G23" s="28">
        <f t="shared" si="7"/>
        <v>8</v>
      </c>
      <c r="H23" s="28">
        <f t="shared" si="7"/>
        <v>10</v>
      </c>
      <c r="I23" s="28">
        <f t="shared" si="7"/>
        <v>9</v>
      </c>
      <c r="J23" s="28">
        <f t="shared" si="7"/>
        <v>5</v>
      </c>
      <c r="K23" s="28">
        <f t="shared" si="7"/>
        <v>6</v>
      </c>
      <c r="L23" s="28">
        <f t="shared" si="7"/>
        <v>4</v>
      </c>
      <c r="M23" s="28">
        <f t="shared" si="7"/>
        <v>3</v>
      </c>
      <c r="N23" s="28">
        <f t="shared" si="7"/>
        <v>15</v>
      </c>
      <c r="O23" s="28">
        <f t="shared" si="7"/>
        <v>5</v>
      </c>
      <c r="P23" s="28">
        <f t="shared" si="7"/>
        <v>1</v>
      </c>
      <c r="Q23" s="13">
        <f t="shared" si="5"/>
        <v>86</v>
      </c>
      <c r="R23" s="14">
        <f t="shared" si="6"/>
        <v>0.05613577023</v>
      </c>
    </row>
    <row r="24" ht="14.25" customHeight="1">
      <c r="A24" s="26"/>
      <c r="B24" s="29" t="s">
        <v>13</v>
      </c>
      <c r="C24" s="30">
        <f t="shared" ref="C24:P24" si="8">SUM(C34:C35)</f>
        <v>13</v>
      </c>
      <c r="D24" s="30">
        <f t="shared" si="8"/>
        <v>18</v>
      </c>
      <c r="E24" s="30">
        <f t="shared" si="8"/>
        <v>28</v>
      </c>
      <c r="F24" s="30">
        <f t="shared" si="8"/>
        <v>32</v>
      </c>
      <c r="G24" s="30">
        <f t="shared" si="8"/>
        <v>35</v>
      </c>
      <c r="H24" s="30">
        <f t="shared" si="8"/>
        <v>35</v>
      </c>
      <c r="I24" s="30">
        <f t="shared" si="8"/>
        <v>17</v>
      </c>
      <c r="J24" s="30">
        <f t="shared" si="8"/>
        <v>20</v>
      </c>
      <c r="K24" s="30">
        <f t="shared" si="8"/>
        <v>33</v>
      </c>
      <c r="L24" s="30">
        <f t="shared" si="8"/>
        <v>27</v>
      </c>
      <c r="M24" s="30">
        <f t="shared" si="8"/>
        <v>21</v>
      </c>
      <c r="N24" s="30">
        <f t="shared" si="8"/>
        <v>10</v>
      </c>
      <c r="O24" s="30">
        <f t="shared" si="8"/>
        <v>15</v>
      </c>
      <c r="P24" s="30">
        <f t="shared" si="8"/>
        <v>9</v>
      </c>
      <c r="Q24" s="13">
        <f t="shared" si="5"/>
        <v>313</v>
      </c>
      <c r="R24" s="14">
        <f t="shared" si="6"/>
        <v>0.204308094</v>
      </c>
    </row>
    <row r="25" ht="14.25" customHeight="1">
      <c r="A25" s="26"/>
      <c r="B25" s="27" t="s">
        <v>14</v>
      </c>
      <c r="C25" s="28">
        <f t="shared" ref="C25:P25" si="9">SUM(C36:C37)</f>
        <v>7</v>
      </c>
      <c r="D25" s="28">
        <f t="shared" si="9"/>
        <v>10</v>
      </c>
      <c r="E25" s="28">
        <f t="shared" si="9"/>
        <v>13</v>
      </c>
      <c r="F25" s="28">
        <f t="shared" si="9"/>
        <v>16</v>
      </c>
      <c r="G25" s="28">
        <f t="shared" si="9"/>
        <v>14</v>
      </c>
      <c r="H25" s="28">
        <f t="shared" si="9"/>
        <v>7</v>
      </c>
      <c r="I25" s="28">
        <f t="shared" si="9"/>
        <v>8</v>
      </c>
      <c r="J25" s="28">
        <f t="shared" si="9"/>
        <v>4</v>
      </c>
      <c r="K25" s="28">
        <f t="shared" si="9"/>
        <v>17</v>
      </c>
      <c r="L25" s="28">
        <f t="shared" si="9"/>
        <v>0</v>
      </c>
      <c r="M25" s="28">
        <f t="shared" si="9"/>
        <v>2</v>
      </c>
      <c r="N25" s="28">
        <f t="shared" si="9"/>
        <v>0</v>
      </c>
      <c r="O25" s="28">
        <f t="shared" si="9"/>
        <v>0</v>
      </c>
      <c r="P25" s="28">
        <f t="shared" si="9"/>
        <v>3</v>
      </c>
      <c r="Q25" s="13">
        <f t="shared" si="5"/>
        <v>101</v>
      </c>
      <c r="R25" s="14">
        <f t="shared" si="6"/>
        <v>0.06592689295</v>
      </c>
    </row>
    <row r="26" ht="14.25" customHeight="1">
      <c r="A26" s="26"/>
      <c r="B26" s="29" t="s">
        <v>15</v>
      </c>
      <c r="C26" s="30">
        <f t="shared" ref="C26:P26" si="10">SUM(C38:C39)</f>
        <v>30</v>
      </c>
      <c r="D26" s="30">
        <f t="shared" si="10"/>
        <v>17</v>
      </c>
      <c r="E26" s="30">
        <f t="shared" si="10"/>
        <v>34</v>
      </c>
      <c r="F26" s="30">
        <f t="shared" si="10"/>
        <v>36</v>
      </c>
      <c r="G26" s="30">
        <f t="shared" si="10"/>
        <v>38</v>
      </c>
      <c r="H26" s="30">
        <f t="shared" si="10"/>
        <v>51</v>
      </c>
      <c r="I26" s="30">
        <f t="shared" si="10"/>
        <v>41</v>
      </c>
      <c r="J26" s="30">
        <f t="shared" si="10"/>
        <v>33</v>
      </c>
      <c r="K26" s="30">
        <f t="shared" si="10"/>
        <v>50</v>
      </c>
      <c r="L26" s="30">
        <f t="shared" si="10"/>
        <v>41</v>
      </c>
      <c r="M26" s="30">
        <f t="shared" si="10"/>
        <v>40</v>
      </c>
      <c r="N26" s="30">
        <f t="shared" si="10"/>
        <v>47</v>
      </c>
      <c r="O26" s="30">
        <f t="shared" si="10"/>
        <v>47</v>
      </c>
      <c r="P26" s="30">
        <f t="shared" si="10"/>
        <v>34</v>
      </c>
      <c r="Q26" s="13">
        <f t="shared" si="5"/>
        <v>539</v>
      </c>
      <c r="R26" s="14">
        <f t="shared" si="6"/>
        <v>0.3518276762</v>
      </c>
    </row>
    <row r="27" ht="14.25" customHeight="1">
      <c r="A27" s="26"/>
      <c r="B27" s="15" t="s">
        <v>16</v>
      </c>
      <c r="C27" s="16">
        <f>ROUND(IF(ISBLANK(Original!C32),'Base projeção'!C32*'Base projeção'!$A$16,Original!C32),0)</f>
        <v>4</v>
      </c>
      <c r="D27" s="16">
        <f>ROUND(IF(ISBLANK(Original!D32),'Base projeção'!D32*'Base projeção'!$A$16,Original!D32),0)</f>
        <v>7</v>
      </c>
      <c r="E27" s="16">
        <f>ROUND(IF(ISBLANK(Original!E32),'Base projeção'!E32*'Base projeção'!$A$16,Original!E32),0)</f>
        <v>4</v>
      </c>
      <c r="F27" s="16">
        <f>ROUND(IF(ISBLANK(Original!F32),'Base projeção'!F32*'Base projeção'!$A$16,Original!F32),0)</f>
        <v>8</v>
      </c>
      <c r="G27" s="16">
        <f>ROUND(IF(ISBLANK(Original!G32),'Base projeção'!G32*'Base projeção'!$A$16,Original!G32),0)</f>
        <v>14</v>
      </c>
      <c r="H27" s="16">
        <f>ROUND(IF(ISBLANK(Original!H32),'Base projeção'!H32*'Base projeção'!$A$16,Original!H32),0)</f>
        <v>17</v>
      </c>
      <c r="I27" s="16">
        <f>ROUND(IF(ISBLANK(Original!I32),'Base projeção'!I32*'Base projeção'!$A$16,Original!I32),0)</f>
        <v>6</v>
      </c>
      <c r="J27" s="16">
        <f>ROUND(IF(ISBLANK(Original!J32),'Base projeção'!J32*'Base projeção'!$A$16,Original!J32),0)</f>
        <v>4</v>
      </c>
      <c r="K27" s="16">
        <f>ROUND(IF(ISBLANK(Original!K32),'Base projeção'!K32*'Base projeção'!$A$16,Original!K32),0)</f>
        <v>3</v>
      </c>
      <c r="L27" s="16">
        <f>ROUND(IF(ISBLANK(Original!L32),'Base projeção'!L32*'Base projeção'!$A$16,Original!L32),0)</f>
        <v>4</v>
      </c>
      <c r="M27" s="16">
        <f>ROUND(IF(ISBLANK(Original!M32),'Base projeção'!M32*'Base projeção'!$A$16,Original!M32),0)</f>
        <v>0</v>
      </c>
      <c r="N27" s="16">
        <f>ROUND(IF(ISBLANK(Original!N32),'Base projeção'!N32*'Base projeção'!$A$16,Original!N32),0)</f>
        <v>0</v>
      </c>
      <c r="O27" s="16">
        <f>ROUND(IF(ISBLANK(Original!O32),'Base projeção'!O32*'Base projeção'!$A$16,Original!O32),0)</f>
        <v>7</v>
      </c>
      <c r="P27" s="16">
        <f>ROUND(IF(ISBLANK(Original!P32),'Base projeção'!P32*'Base projeção'!$A$16,Original!P32),0)</f>
        <v>6</v>
      </c>
      <c r="Q27" s="13">
        <f t="shared" si="5"/>
        <v>84</v>
      </c>
      <c r="R27" s="14">
        <f t="shared" si="6"/>
        <v>0.05483028721</v>
      </c>
    </row>
    <row r="28" ht="14.2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</row>
    <row r="29" ht="14.25" customHeight="1">
      <c r="A29" s="10" t="s">
        <v>29</v>
      </c>
    </row>
    <row r="30" ht="14.25" customHeight="1">
      <c r="A30" s="25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6"/>
      <c r="B31" s="15" t="s">
        <v>30</v>
      </c>
      <c r="C31" s="16">
        <f>ROUND(IF(ISBLANK(Original!C23),'Base projeção'!C23*'Base projeção'!$A$16,Original!C23),0)</f>
        <v>4</v>
      </c>
      <c r="D31" s="16">
        <f>ROUND(IF(ISBLANK(Original!D23),'Base projeção'!D23*'Base projeção'!$A$16,Original!D23),0)</f>
        <v>0</v>
      </c>
      <c r="E31" s="16">
        <f>ROUND(IF(ISBLANK(Original!E23),'Base projeção'!E23*'Base projeção'!$A$16,Original!E23),0)</f>
        <v>0</v>
      </c>
      <c r="F31" s="16">
        <f>ROUND(IF(ISBLANK(Original!F23),'Base projeção'!F23*'Base projeção'!$A$16,Original!F23),0)</f>
        <v>0</v>
      </c>
      <c r="G31" s="16">
        <f>ROUND(IF(ISBLANK(Original!G23),'Base projeção'!G23*'Base projeção'!$A$16,Original!G23),0)</f>
        <v>4</v>
      </c>
      <c r="H31" s="16">
        <f>ROUND(IF(ISBLANK(Original!H23),'Base projeção'!H23*'Base projeção'!$A$16,Original!H23),0)</f>
        <v>3</v>
      </c>
      <c r="I31" s="16">
        <f>ROUND(IF(ISBLANK(Original!I23),'Base projeção'!I23*'Base projeção'!$A$16,Original!I23),0)</f>
        <v>6</v>
      </c>
      <c r="J31" s="16">
        <f>ROUND(IF(ISBLANK(Original!J23),'Base projeção'!J23*'Base projeção'!$A$16,Original!J23),0)</f>
        <v>2</v>
      </c>
      <c r="K31" s="16">
        <f>ROUND(IF(ISBLANK(Original!K23),'Base projeção'!K23*'Base projeção'!$A$16,Original!K23),0)</f>
        <v>0</v>
      </c>
      <c r="L31" s="16">
        <f>ROUND(IF(ISBLANK(Original!L23),'Base projeção'!L23*'Base projeção'!$A$16,Original!L23),0)</f>
        <v>0</v>
      </c>
      <c r="M31" s="16">
        <f>ROUND(IF(ISBLANK(Original!M23),'Base projeção'!M23*'Base projeção'!$A$16,Original!M23),0)</f>
        <v>1</v>
      </c>
      <c r="N31" s="16">
        <f>ROUND(IF(ISBLANK(Original!N23),'Base projeção'!N23*'Base projeção'!$A$16,Original!N23),0)</f>
        <v>13</v>
      </c>
      <c r="O31" s="16">
        <f>ROUND(IF(ISBLANK(Original!O23),'Base projeção'!O23*'Base projeção'!$A$16,Original!O23),0)</f>
        <v>2</v>
      </c>
      <c r="P31" s="16">
        <f>ROUND(IF(ISBLANK(Original!P23),'Base projeção'!P23*'Base projeção'!$A$16,Original!P23),0)</f>
        <v>1</v>
      </c>
      <c r="Q31" s="13">
        <f t="shared" ref="Q31:Q44" si="11">SUM(C31:P31)</f>
        <v>36</v>
      </c>
      <c r="R31" s="14">
        <f t="shared" ref="R31:R34" si="12">Q31/$Q$15</f>
        <v>0.02349869452</v>
      </c>
    </row>
    <row r="32" ht="14.25" customHeight="1">
      <c r="A32" s="26"/>
      <c r="B32" s="15" t="s">
        <v>31</v>
      </c>
      <c r="C32" s="16">
        <f>ROUND(IF(ISBLANK(Original!C24),'Base projeção'!C24*'Base projeção'!$A$16,Original!C24),0)</f>
        <v>0</v>
      </c>
      <c r="D32" s="16">
        <f>ROUND(IF(ISBLANK(Original!D24),'Base projeção'!D24*'Base projeção'!$A$16,Original!D24),0)</f>
        <v>11</v>
      </c>
      <c r="E32" s="16">
        <f>ROUND(IF(ISBLANK(Original!E24),'Base projeção'!E24*'Base projeção'!$A$16,Original!E24),0)</f>
        <v>0</v>
      </c>
      <c r="F32" s="16">
        <f>ROUND(IF(ISBLANK(Original!F24),'Base projeção'!F24*'Base projeção'!$A$16,Original!F24),0)</f>
        <v>1</v>
      </c>
      <c r="G32" s="16">
        <f>ROUND(IF(ISBLANK(Original!G24),'Base projeção'!G24*'Base projeção'!$A$16,Original!G24),0)</f>
        <v>4</v>
      </c>
      <c r="H32" s="16">
        <f>ROUND(IF(ISBLANK(Original!H24),'Base projeção'!H24*'Base projeção'!$A$16,Original!H24),0)</f>
        <v>6</v>
      </c>
      <c r="I32" s="16">
        <f>ROUND(IF(ISBLANK(Original!I24),'Base projeção'!I24*'Base projeção'!$A$16,Original!I24),0)</f>
        <v>2</v>
      </c>
      <c r="J32" s="16">
        <f>ROUND(IF(ISBLANK(Original!J24),'Base projeção'!J24*'Base projeção'!$A$16,Original!J24),0)</f>
        <v>1</v>
      </c>
      <c r="K32" s="16">
        <f>ROUND(IF(ISBLANK(Original!K24),'Base projeção'!K24*'Base projeção'!$A$16,Original!K24),0)</f>
        <v>6</v>
      </c>
      <c r="L32" s="16">
        <f>ROUND(IF(ISBLANK(Original!L24),'Base projeção'!L24*'Base projeção'!$A$16,Original!L24),0)</f>
        <v>4</v>
      </c>
      <c r="M32" s="16">
        <f>ROUND(IF(ISBLANK(Original!M24),'Base projeção'!M24*'Base projeção'!$A$16,Original!M24),0)</f>
        <v>2</v>
      </c>
      <c r="N32" s="16">
        <f>ROUND(IF(ISBLANK(Original!N24),'Base projeção'!N24*'Base projeção'!$A$16,Original!N24),0)</f>
        <v>2</v>
      </c>
      <c r="O32" s="16">
        <f>ROUND(IF(ISBLANK(Original!O24),'Base projeção'!O24*'Base projeção'!$A$16,Original!O24),0)</f>
        <v>2</v>
      </c>
      <c r="P32" s="16">
        <f>ROUND(IF(ISBLANK(Original!P24),'Base projeção'!P24*'Base projeção'!$A$16,Original!P24),0)</f>
        <v>0</v>
      </c>
      <c r="Q32" s="13">
        <f t="shared" si="11"/>
        <v>41</v>
      </c>
      <c r="R32" s="14">
        <f t="shared" si="12"/>
        <v>0.02676240209</v>
      </c>
    </row>
    <row r="33" ht="14.25" customHeight="1">
      <c r="A33" s="26"/>
      <c r="B33" s="15" t="s">
        <v>32</v>
      </c>
      <c r="C33" s="16">
        <f>ROUND(IF(ISBLANK(Original!C25),'Base projeção'!C25*'Base projeção'!$A$16,Original!C25),0)</f>
        <v>0</v>
      </c>
      <c r="D33" s="16">
        <f>ROUND(IF(ISBLANK(Original!D25),'Base projeção'!D25*'Base projeção'!$A$16,Original!D25),0)</f>
        <v>0</v>
      </c>
      <c r="E33" s="16">
        <f>ROUND(IF(ISBLANK(Original!E25),'Base projeção'!E25*'Base projeção'!$A$16,Original!E25),0)</f>
        <v>1</v>
      </c>
      <c r="F33" s="16">
        <f>ROUND(IF(ISBLANK(Original!F25),'Base projeção'!F25*'Base projeção'!$A$16,Original!F25),0)</f>
        <v>3</v>
      </c>
      <c r="G33" s="16">
        <f>ROUND(IF(ISBLANK(Original!G25),'Base projeção'!G25*'Base projeção'!$A$16,Original!G25),0)</f>
        <v>0</v>
      </c>
      <c r="H33" s="16">
        <f>ROUND(IF(ISBLANK(Original!H25),'Base projeção'!H25*'Base projeção'!$A$16,Original!H25),0)</f>
        <v>1</v>
      </c>
      <c r="I33" s="16">
        <f>ROUND(IF(ISBLANK(Original!I25),'Base projeção'!I25*'Base projeção'!$A$16,Original!I25),0)</f>
        <v>1</v>
      </c>
      <c r="J33" s="16">
        <f>ROUND(IF(ISBLANK(Original!J25),'Base projeção'!J25*'Base projeção'!$A$16,Original!J25),0)</f>
        <v>2</v>
      </c>
      <c r="K33" s="16">
        <f>ROUND(IF(ISBLANK(Original!K25),'Base projeção'!K25*'Base projeção'!$A$16,Original!K25),0)</f>
        <v>0</v>
      </c>
      <c r="L33" s="16">
        <f>ROUND(IF(ISBLANK(Original!L25),'Base projeção'!L25*'Base projeção'!$A$16,Original!L25),0)</f>
        <v>0</v>
      </c>
      <c r="M33" s="16">
        <f>ROUND(IF(ISBLANK(Original!M25),'Base projeção'!M25*'Base projeção'!$A$16,Original!M25),0)</f>
        <v>0</v>
      </c>
      <c r="N33" s="16">
        <f>ROUND(IF(ISBLANK(Original!N25),'Base projeção'!N25*'Base projeção'!$A$16,Original!N25),0)</f>
        <v>0</v>
      </c>
      <c r="O33" s="16">
        <f>ROUND(IF(ISBLANK(Original!O25),'Base projeção'!O25*'Base projeção'!$A$16,Original!O25),0)</f>
        <v>1</v>
      </c>
      <c r="P33" s="16">
        <f>ROUND(IF(ISBLANK(Original!P25),'Base projeção'!P25*'Base projeção'!$A$16,Original!P25),0)</f>
        <v>0</v>
      </c>
      <c r="Q33" s="13">
        <f t="shared" si="11"/>
        <v>9</v>
      </c>
      <c r="R33" s="14">
        <f t="shared" si="12"/>
        <v>0.005874673629</v>
      </c>
    </row>
    <row r="34" ht="14.25" customHeight="1">
      <c r="A34" s="26"/>
      <c r="B34" s="15" t="s">
        <v>33</v>
      </c>
      <c r="C34" s="16">
        <f>ROUND(IF(ISBLANK(Original!C26),'Base projeção'!C26*'Base projeção'!$A$16,Original!C26),0)</f>
        <v>13</v>
      </c>
      <c r="D34" s="16">
        <f>ROUND(IF(ISBLANK(Original!D26),'Base projeção'!D26*'Base projeção'!$A$16,Original!D26),0)</f>
        <v>18</v>
      </c>
      <c r="E34" s="16">
        <f>ROUND(IF(ISBLANK(Original!E26),'Base projeção'!E26*'Base projeção'!$A$16,Original!E26),0)</f>
        <v>28</v>
      </c>
      <c r="F34" s="16">
        <f>ROUND(IF(ISBLANK(Original!F26),'Base projeção'!F26*'Base projeção'!$A$16,Original!F26),0)</f>
        <v>28</v>
      </c>
      <c r="G34" s="16">
        <f>ROUND(IF(ISBLANK(Original!G26),'Base projeção'!G26*'Base projeção'!$A$16,Original!G26),0)</f>
        <v>35</v>
      </c>
      <c r="H34" s="16">
        <f>ROUND(IF(ISBLANK(Original!H26),'Base projeção'!H26*'Base projeção'!$A$16,Original!H26),0)</f>
        <v>35</v>
      </c>
      <c r="I34" s="16">
        <f>ROUND(IF(ISBLANK(Original!I26),'Base projeção'!I26*'Base projeção'!$A$16,Original!I26),0)</f>
        <v>11</v>
      </c>
      <c r="J34" s="16">
        <f>ROUND(IF(ISBLANK(Original!J26),'Base projeção'!J26*'Base projeção'!$A$16,Original!J26),0)</f>
        <v>11</v>
      </c>
      <c r="K34" s="16">
        <f>ROUND(IF(ISBLANK(Original!K26),'Base projeção'!K26*'Base projeção'!$A$16,Original!K26),0)</f>
        <v>27</v>
      </c>
      <c r="L34" s="16">
        <f>ROUND(IF(ISBLANK(Original!L26),'Base projeção'!L26*'Base projeção'!$A$16,Original!L26),0)</f>
        <v>24</v>
      </c>
      <c r="M34" s="16">
        <f>ROUND(IF(ISBLANK(Original!M26),'Base projeção'!M26*'Base projeção'!$A$16,Original!M26),0)</f>
        <v>16</v>
      </c>
      <c r="N34" s="16">
        <f>ROUND(IF(ISBLANK(Original!N26),'Base projeção'!N26*'Base projeção'!$A$16,Original!N26),0)</f>
        <v>7</v>
      </c>
      <c r="O34" s="16">
        <f>ROUND(IF(ISBLANK(Original!O26),'Base projeção'!O26*'Base projeção'!$A$16,Original!O26),0)</f>
        <v>5</v>
      </c>
      <c r="P34" s="16">
        <f>ROUND(IF(ISBLANK(Original!P26),'Base projeção'!P26*'Base projeção'!$A$16,Original!P26),0)</f>
        <v>8</v>
      </c>
      <c r="Q34" s="13">
        <f t="shared" si="11"/>
        <v>266</v>
      </c>
      <c r="R34" s="14">
        <f t="shared" si="12"/>
        <v>0.1736292428</v>
      </c>
    </row>
    <row r="35" ht="14.25" customHeight="1">
      <c r="A35" s="26"/>
      <c r="B35" s="34" t="s">
        <v>34</v>
      </c>
      <c r="C35" s="16">
        <f>ROUND(IF(ISBLANK(Original!C27),'Base projeção'!C27*'Base projeção'!$A$16,Original!C27),0)</f>
        <v>0</v>
      </c>
      <c r="D35" s="16">
        <f>ROUND(IF(ISBLANK(Original!D27),'Base projeção'!D27*'Base projeção'!$A$16,Original!D27),0)</f>
        <v>0</v>
      </c>
      <c r="E35" s="16">
        <f>ROUND(IF(ISBLANK(Original!E27),'Base projeção'!E27*'Base projeção'!$A$16,Original!E27),0)</f>
        <v>0</v>
      </c>
      <c r="F35" s="16">
        <f>ROUND(IF(ISBLANK(Original!F27),'Base projeção'!F27*'Base projeção'!$A$16,Original!F27),0)</f>
        <v>4</v>
      </c>
      <c r="G35" s="16">
        <f>ROUND(IF(ISBLANK(Original!G27),'Base projeção'!G27*'Base projeção'!$A$16,Original!G27),0)</f>
        <v>0</v>
      </c>
      <c r="H35" s="16">
        <f>ROUND(IF(ISBLANK(Original!H27),'Base projeção'!H27*'Base projeção'!$A$16,Original!H27),0)</f>
        <v>0</v>
      </c>
      <c r="I35" s="16">
        <f>ROUND(IF(ISBLANK(Original!I27),'Base projeção'!I27*'Base projeção'!$A$16,Original!I27),0)</f>
        <v>6</v>
      </c>
      <c r="J35" s="16">
        <f>ROUND(IF(ISBLANK(Original!J27),'Base projeção'!J27*'Base projeção'!$A$16,Original!J27),0)</f>
        <v>9</v>
      </c>
      <c r="K35" s="16">
        <f>ROUND(IF(ISBLANK(Original!K27),'Base projeção'!K27*'Base projeção'!$A$16,Original!K27),0)</f>
        <v>6</v>
      </c>
      <c r="L35" s="16">
        <f>ROUND(IF(ISBLANK(Original!L27),'Base projeção'!L27*'Base projeção'!$A$16,Original!L27),0)</f>
        <v>3</v>
      </c>
      <c r="M35" s="16">
        <f>ROUND(IF(ISBLANK(Original!M27),'Base projeção'!M27*'Base projeção'!$A$16,Original!M27),0)</f>
        <v>5</v>
      </c>
      <c r="N35" s="16">
        <f>ROUND(IF(ISBLANK(Original!N27),'Base projeção'!N27*'Base projeção'!$A$16,Original!N27),0)</f>
        <v>3</v>
      </c>
      <c r="O35" s="16">
        <f>ROUND(IF(ISBLANK(Original!O27),'Base projeção'!O27*'Base projeção'!$A$16,Original!O27),0)</f>
        <v>10</v>
      </c>
      <c r="P35" s="16">
        <f>ROUND(IF(ISBLANK(Original!P27),'Base projeção'!P27*'Base projeção'!$A$16,Original!P27),0)</f>
        <v>1</v>
      </c>
      <c r="Q35" s="13">
        <f t="shared" si="11"/>
        <v>47</v>
      </c>
      <c r="R35" s="14"/>
    </row>
    <row r="36" ht="14.25" customHeight="1">
      <c r="A36" s="26"/>
      <c r="B36" s="15" t="s">
        <v>14</v>
      </c>
      <c r="C36" s="16">
        <f>ROUND(IF(ISBLANK(Original!C28),'Base projeção'!C28*'Base projeção'!$A$16,Original!C28),0)</f>
        <v>7</v>
      </c>
      <c r="D36" s="16">
        <f>ROUND(IF(ISBLANK(Original!D28),'Base projeção'!D28*'Base projeção'!$A$16,Original!D28),0)</f>
        <v>10</v>
      </c>
      <c r="E36" s="16">
        <f>ROUND(IF(ISBLANK(Original!E28),'Base projeção'!E28*'Base projeção'!$A$16,Original!E28),0)</f>
        <v>13</v>
      </c>
      <c r="F36" s="16">
        <f>ROUND(IF(ISBLANK(Original!F28),'Base projeção'!F28*'Base projeção'!$A$16,Original!F28),0)</f>
        <v>16</v>
      </c>
      <c r="G36" s="16">
        <f>ROUND(IF(ISBLANK(Original!G28),'Base projeção'!G28*'Base projeção'!$A$16,Original!G28),0)</f>
        <v>14</v>
      </c>
      <c r="H36" s="16">
        <f>ROUND(IF(ISBLANK(Original!H28),'Base projeção'!H28*'Base projeção'!$A$16,Original!H28),0)</f>
        <v>7</v>
      </c>
      <c r="I36" s="16">
        <f>ROUND(IF(ISBLANK(Original!I28),'Base projeção'!I28*'Base projeção'!$A$16,Original!I28),0)</f>
        <v>8</v>
      </c>
      <c r="J36" s="16">
        <f>ROUND(IF(ISBLANK(Original!J28),'Base projeção'!J28*'Base projeção'!$A$16,Original!J28),0)</f>
        <v>4</v>
      </c>
      <c r="K36" s="16">
        <f>ROUND(IF(ISBLANK(Original!K28),'Base projeção'!K28*'Base projeção'!$A$16,Original!K28),0)</f>
        <v>17</v>
      </c>
      <c r="L36" s="16">
        <f>ROUND(IF(ISBLANK(Original!L28),'Base projeção'!L28*'Base projeção'!$A$16,Original!L28),0)</f>
        <v>0</v>
      </c>
      <c r="M36" s="16">
        <f>ROUND(IF(ISBLANK(Original!M28),'Base projeção'!M28*'Base projeção'!$A$16,Original!M28),0)</f>
        <v>2</v>
      </c>
      <c r="N36" s="16">
        <f>ROUND(IF(ISBLANK(Original!N28),'Base projeção'!N28*'Base projeção'!$A$16,Original!N28),0)</f>
        <v>0</v>
      </c>
      <c r="O36" s="16">
        <f>ROUND(IF(ISBLANK(Original!O28),'Base projeção'!O28*'Base projeção'!$A$16,Original!O28),0)</f>
        <v>0</v>
      </c>
      <c r="P36" s="16">
        <f>ROUND(IF(ISBLANK(Original!P28),'Base projeção'!P28*'Base projeção'!$A$16,Original!P28),0)</f>
        <v>3</v>
      </c>
      <c r="Q36" s="13">
        <f t="shared" si="11"/>
        <v>101</v>
      </c>
      <c r="R36" s="14">
        <f>Q36/$Q$15</f>
        <v>0.06592689295</v>
      </c>
    </row>
    <row r="37" ht="14.25" customHeight="1">
      <c r="A37" s="26"/>
      <c r="B37" s="15" t="s">
        <v>35</v>
      </c>
      <c r="C37" s="16">
        <f>ROUND(IF(ISBLANK(Original!C29),'Base projeção'!C29*'Base projeção'!$A$16,Original!C29),0)</f>
        <v>0</v>
      </c>
      <c r="D37" s="16">
        <f>ROUND(IF(ISBLANK(Original!D29),'Base projeção'!D29*'Base projeção'!$A$16,Original!D29),0)</f>
        <v>0</v>
      </c>
      <c r="E37" s="16">
        <f>ROUND(IF(ISBLANK(Original!E29),'Base projeção'!E29*'Base projeção'!$A$16,Original!E29),0)</f>
        <v>0</v>
      </c>
      <c r="F37" s="16">
        <f>ROUND(IF(ISBLANK(Original!F29),'Base projeção'!F29*'Base projeção'!$A$16,Original!F29),0)</f>
        <v>0</v>
      </c>
      <c r="G37" s="16">
        <f>ROUND(IF(ISBLANK(Original!G29),'Base projeção'!G29*'Base projeção'!$A$16,Original!G29),0)</f>
        <v>0</v>
      </c>
      <c r="H37" s="16">
        <f>ROUND(IF(ISBLANK(Original!H29),'Base projeção'!H29*'Base projeção'!$A$16,Original!H29),0)</f>
        <v>0</v>
      </c>
      <c r="I37" s="16">
        <f>ROUND(IF(ISBLANK(Original!I29),'Base projeção'!I29*'Base projeção'!$A$16,Original!I29),0)</f>
        <v>0</v>
      </c>
      <c r="J37" s="16">
        <f>ROUND(IF(ISBLANK(Original!J29),'Base projeção'!J29*'Base projeção'!$A$16,Original!J29),0)</f>
        <v>0</v>
      </c>
      <c r="K37" s="16">
        <f>ROUND(IF(ISBLANK(Original!K29),'Base projeção'!K29*'Base projeção'!$A$16,Original!K29),0)</f>
        <v>0</v>
      </c>
      <c r="L37" s="16">
        <f>ROUND(IF(ISBLANK(Original!L29),'Base projeção'!L29*'Base projeção'!$A$16,Original!L29),0)</f>
        <v>0</v>
      </c>
      <c r="M37" s="16">
        <f>ROUND(IF(ISBLANK(Original!M29),'Base projeção'!M29*'Base projeção'!$A$16,Original!M29),0)</f>
        <v>0</v>
      </c>
      <c r="N37" s="16">
        <f>ROUND(IF(ISBLANK(Original!N29),'Base projeção'!N29*'Base projeção'!$A$16,Original!N29),0)</f>
        <v>0</v>
      </c>
      <c r="O37" s="16">
        <f>ROUND(IF(ISBLANK(Original!O29),'Base projeção'!O29*'Base projeção'!$A$16,Original!O29),0)</f>
        <v>0</v>
      </c>
      <c r="P37" s="16">
        <f>ROUND(IF(ISBLANK(Original!P29),'Base projeção'!P29*'Base projeção'!$A$16,Original!P29),0)</f>
        <v>0</v>
      </c>
      <c r="Q37" s="13">
        <f t="shared" si="11"/>
        <v>0</v>
      </c>
      <c r="R37" s="14"/>
    </row>
    <row r="38" ht="14.25" customHeight="1">
      <c r="A38" s="26"/>
      <c r="B38" s="15" t="s">
        <v>36</v>
      </c>
      <c r="C38" s="16">
        <f>ROUND(IF(ISBLANK(Original!C30),'Base projeção'!C30*'Base projeção'!$A$16,Original!C30),0)</f>
        <v>30</v>
      </c>
      <c r="D38" s="16">
        <f>ROUND(IF(ISBLANK(Original!D30),'Base projeção'!D30*'Base projeção'!$A$16,Original!D30),0)</f>
        <v>17</v>
      </c>
      <c r="E38" s="16">
        <f>ROUND(IF(ISBLANK(Original!E30),'Base projeção'!E30*'Base projeção'!$A$16,Original!E30),0)</f>
        <v>18</v>
      </c>
      <c r="F38" s="16">
        <f>ROUND(IF(ISBLANK(Original!F30),'Base projeção'!F30*'Base projeção'!$A$16,Original!F30),0)</f>
        <v>16</v>
      </c>
      <c r="G38" s="16">
        <f>ROUND(IF(ISBLANK(Original!G30),'Base projeção'!G30*'Base projeção'!$A$16,Original!G30),0)</f>
        <v>31</v>
      </c>
      <c r="H38" s="16">
        <f>ROUND(IF(ISBLANK(Original!H30),'Base projeção'!H30*'Base projeção'!$A$16,Original!H30),0)</f>
        <v>44</v>
      </c>
      <c r="I38" s="16">
        <f>ROUND(IF(ISBLANK(Original!I30),'Base projeção'!I30*'Base projeção'!$A$16,Original!I30),0)</f>
        <v>19</v>
      </c>
      <c r="J38" s="16">
        <f>ROUND(IF(ISBLANK(Original!J30),'Base projeção'!J30*'Base projeção'!$A$16,Original!J30),0)</f>
        <v>14</v>
      </c>
      <c r="K38" s="16">
        <f>ROUND(IF(ISBLANK(Original!K30),'Base projeção'!K30*'Base projeção'!$A$16,Original!K30),0)</f>
        <v>23</v>
      </c>
      <c r="L38" s="16">
        <f>ROUND(IF(ISBLANK(Original!L30),'Base projeção'!L30*'Base projeção'!$A$16,Original!L30),0)</f>
        <v>18</v>
      </c>
      <c r="M38" s="16">
        <f>ROUND(IF(ISBLANK(Original!M30),'Base projeção'!M30*'Base projeção'!$A$16,Original!M30),0)</f>
        <v>11</v>
      </c>
      <c r="N38" s="16">
        <f>ROUND(IF(ISBLANK(Original!N30),'Base projeção'!N30*'Base projeção'!$A$16,Original!N30),0)</f>
        <v>4</v>
      </c>
      <c r="O38" s="16">
        <f>ROUND(IF(ISBLANK(Original!O30),'Base projeção'!O30*'Base projeção'!$A$16,Original!O30),0)</f>
        <v>24</v>
      </c>
      <c r="P38" s="16">
        <f>ROUND(IF(ISBLANK(Original!P30),'Base projeção'!P30*'Base projeção'!$A$16,Original!P30),0)</f>
        <v>1</v>
      </c>
      <c r="Q38" s="13">
        <f t="shared" si="11"/>
        <v>270</v>
      </c>
      <c r="R38" s="14">
        <f t="shared" ref="R38:R44" si="13">Q38/$Q$15</f>
        <v>0.1762402089</v>
      </c>
    </row>
    <row r="39" ht="14.25" customHeight="1">
      <c r="A39" s="26"/>
      <c r="B39" s="15" t="s">
        <v>37</v>
      </c>
      <c r="C39" s="16">
        <f>ROUND(IF(ISBLANK(Original!C31),'Base projeção'!C31*'Base projeção'!$A$16,Original!C31),0)</f>
        <v>0</v>
      </c>
      <c r="D39" s="16">
        <f>ROUND(IF(ISBLANK(Original!D31),'Base projeção'!D31*'Base projeção'!$A$16,Original!D31),0)</f>
        <v>0</v>
      </c>
      <c r="E39" s="16">
        <f>ROUND(IF(ISBLANK(Original!E31),'Base projeção'!E31*'Base projeção'!$A$16,Original!E31),0)</f>
        <v>16</v>
      </c>
      <c r="F39" s="16">
        <f>ROUND(IF(ISBLANK(Original!F31),'Base projeção'!F31*'Base projeção'!$A$16,Original!F31),0)</f>
        <v>20</v>
      </c>
      <c r="G39" s="16">
        <f>ROUND(IF(ISBLANK(Original!G31),'Base projeção'!G31*'Base projeção'!$A$16,Original!G31),0)</f>
        <v>7</v>
      </c>
      <c r="H39" s="16">
        <f>ROUND(IF(ISBLANK(Original!H31),'Base projeção'!H31*'Base projeção'!$A$16,Original!H31),0)</f>
        <v>7</v>
      </c>
      <c r="I39" s="16">
        <f>ROUND(IF(ISBLANK(Original!I31),'Base projeção'!I31*'Base projeção'!$A$16,Original!I31),0)</f>
        <v>22</v>
      </c>
      <c r="J39" s="16">
        <f>ROUND(IF(ISBLANK(Original!J31),'Base projeção'!J31*'Base projeção'!$A$16,Original!J31),0)</f>
        <v>19</v>
      </c>
      <c r="K39" s="16">
        <f>ROUND(IF(ISBLANK(Original!K31),'Base projeção'!K31*'Base projeção'!$A$16,Original!K31),0)</f>
        <v>27</v>
      </c>
      <c r="L39" s="16">
        <f>ROUND(IF(ISBLANK(Original!L31),'Base projeção'!L31*'Base projeção'!$A$16,Original!L31),0)</f>
        <v>23</v>
      </c>
      <c r="M39" s="16">
        <f>ROUND(IF(ISBLANK(Original!M31),'Base projeção'!M31*'Base projeção'!$A$16,Original!M31),0)</f>
        <v>29</v>
      </c>
      <c r="N39" s="16">
        <f>ROUND(IF(ISBLANK(Original!N31),'Base projeção'!N31*'Base projeção'!$A$16,Original!N31),0)</f>
        <v>43</v>
      </c>
      <c r="O39" s="16">
        <f>ROUND(IF(ISBLANK(Original!O31),'Base projeção'!O31*'Base projeção'!$A$16,Original!O31),0)</f>
        <v>23</v>
      </c>
      <c r="P39" s="16">
        <f>ROUND(IF(ISBLANK(Original!P31),'Base projeção'!P31*'Base projeção'!$A$16,Original!P31),0)</f>
        <v>33</v>
      </c>
      <c r="Q39" s="13">
        <f t="shared" si="11"/>
        <v>269</v>
      </c>
      <c r="R39" s="14">
        <f t="shared" si="13"/>
        <v>0.1755874674</v>
      </c>
    </row>
    <row r="40" ht="14.25" customHeight="1">
      <c r="A40" s="26"/>
      <c r="B40" s="34" t="s">
        <v>38</v>
      </c>
      <c r="C40" s="15"/>
      <c r="D40" s="15"/>
      <c r="E40" s="15"/>
      <c r="F40" s="15"/>
      <c r="G40" s="15"/>
      <c r="H40" s="15"/>
      <c r="I40" s="15">
        <v>13.0</v>
      </c>
      <c r="J40" s="15">
        <v>6.0</v>
      </c>
      <c r="K40" s="15"/>
      <c r="L40" s="15"/>
      <c r="M40" s="15">
        <v>0.0</v>
      </c>
      <c r="N40" s="15">
        <v>20.0</v>
      </c>
      <c r="O40" s="15">
        <v>16.0</v>
      </c>
      <c r="P40" s="15"/>
      <c r="Q40" s="13">
        <f t="shared" si="11"/>
        <v>55</v>
      </c>
      <c r="R40" s="14">
        <f t="shared" si="13"/>
        <v>0.03590078329</v>
      </c>
    </row>
    <row r="41" ht="14.25" customHeight="1">
      <c r="A41" s="26"/>
      <c r="B41" s="35" t="s">
        <v>39</v>
      </c>
      <c r="C41" s="15"/>
      <c r="D41" s="15"/>
      <c r="E41" s="15"/>
      <c r="F41" s="15"/>
      <c r="G41" s="15"/>
      <c r="H41" s="15"/>
      <c r="I41" s="15">
        <v>0.0</v>
      </c>
      <c r="J41" s="15">
        <v>0.0</v>
      </c>
      <c r="K41" s="15"/>
      <c r="L41" s="15"/>
      <c r="M41" s="15">
        <v>0.0</v>
      </c>
      <c r="N41" s="15">
        <v>0.0</v>
      </c>
      <c r="O41" s="15">
        <v>0.0</v>
      </c>
      <c r="P41" s="15"/>
      <c r="Q41" s="13">
        <f t="shared" si="11"/>
        <v>0</v>
      </c>
      <c r="R41" s="14">
        <f t="shared" si="13"/>
        <v>0</v>
      </c>
    </row>
    <row r="42" ht="14.25" customHeight="1">
      <c r="A42" s="26"/>
      <c r="B42" s="35" t="s">
        <v>40</v>
      </c>
      <c r="C42" s="15"/>
      <c r="D42" s="15"/>
      <c r="E42" s="15"/>
      <c r="F42" s="15"/>
      <c r="G42" s="15"/>
      <c r="H42" s="15"/>
      <c r="I42" s="15">
        <v>0.0</v>
      </c>
      <c r="J42" s="15">
        <v>0.0</v>
      </c>
      <c r="K42" s="15"/>
      <c r="L42" s="15"/>
      <c r="M42" s="15">
        <v>0.0</v>
      </c>
      <c r="N42" s="15">
        <v>0.0</v>
      </c>
      <c r="O42" s="15">
        <v>0.0</v>
      </c>
      <c r="P42" s="15"/>
      <c r="Q42" s="13">
        <f t="shared" si="11"/>
        <v>0</v>
      </c>
      <c r="R42" s="14">
        <f t="shared" si="13"/>
        <v>0</v>
      </c>
    </row>
    <row r="43" ht="14.25" customHeight="1">
      <c r="A43" s="26"/>
      <c r="B43" s="35" t="s">
        <v>41</v>
      </c>
      <c r="C43" s="15"/>
      <c r="D43" s="15"/>
      <c r="E43" s="15"/>
      <c r="F43" s="15"/>
      <c r="G43" s="15"/>
      <c r="H43" s="15"/>
      <c r="I43" s="15">
        <v>0.0</v>
      </c>
      <c r="J43" s="15">
        <v>0.0</v>
      </c>
      <c r="K43" s="15"/>
      <c r="L43" s="15"/>
      <c r="M43" s="15">
        <v>0.0</v>
      </c>
      <c r="N43" s="15">
        <v>0.0</v>
      </c>
      <c r="O43" s="15">
        <v>0.0</v>
      </c>
      <c r="P43" s="15"/>
      <c r="Q43" s="13">
        <f t="shared" si="11"/>
        <v>0</v>
      </c>
      <c r="R43" s="14">
        <f t="shared" si="13"/>
        <v>0</v>
      </c>
    </row>
    <row r="44" ht="14.25" customHeight="1">
      <c r="A44" s="26"/>
      <c r="B44" s="34" t="s">
        <v>42</v>
      </c>
      <c r="C44" s="15"/>
      <c r="D44" s="15"/>
      <c r="E44" s="15"/>
      <c r="F44" s="15"/>
      <c r="G44" s="15"/>
      <c r="H44" s="15"/>
      <c r="I44" s="15">
        <v>0.0</v>
      </c>
      <c r="J44" s="15">
        <v>0.0</v>
      </c>
      <c r="K44" s="15"/>
      <c r="L44" s="15"/>
      <c r="M44" s="15">
        <v>0.0</v>
      </c>
      <c r="N44" s="15">
        <v>0.0</v>
      </c>
      <c r="O44" s="15">
        <v>0.0</v>
      </c>
      <c r="P44" s="15"/>
      <c r="Q44" s="13">
        <f t="shared" si="11"/>
        <v>0</v>
      </c>
      <c r="R44" s="14">
        <f t="shared" si="13"/>
        <v>0</v>
      </c>
    </row>
    <row r="45" ht="14.25" customHeight="1">
      <c r="A45" s="26"/>
      <c r="B45" s="34" t="s">
        <v>43</v>
      </c>
      <c r="C45" s="15"/>
      <c r="D45" s="15"/>
      <c r="E45" s="15"/>
      <c r="F45" s="15"/>
      <c r="G45" s="15"/>
      <c r="H45" s="15"/>
      <c r="I45" s="15">
        <v>0.0</v>
      </c>
      <c r="J45" s="15">
        <v>0.0</v>
      </c>
      <c r="K45" s="15"/>
      <c r="L45" s="15"/>
      <c r="M45" s="15">
        <v>0.0</v>
      </c>
      <c r="N45" s="15">
        <v>0.0</v>
      </c>
      <c r="O45" s="15">
        <v>0.0</v>
      </c>
      <c r="P45" s="15"/>
      <c r="Q45" s="13"/>
      <c r="R45" s="14"/>
    </row>
    <row r="46" ht="14.25" customHeight="1">
      <c r="A46" s="26"/>
      <c r="B46" s="34" t="s">
        <v>44</v>
      </c>
      <c r="C46" s="15"/>
      <c r="D46" s="15"/>
      <c r="E46" s="15"/>
      <c r="F46" s="15"/>
      <c r="G46" s="15"/>
      <c r="H46" s="15"/>
      <c r="I46" s="15">
        <v>2.0</v>
      </c>
      <c r="J46" s="15">
        <v>3.0</v>
      </c>
      <c r="K46" s="15"/>
      <c r="L46" s="15"/>
      <c r="M46" s="15">
        <v>3.0</v>
      </c>
      <c r="N46" s="15">
        <v>1.0</v>
      </c>
      <c r="O46" s="15">
        <v>0.0</v>
      </c>
      <c r="P46" s="15"/>
      <c r="Q46" s="13"/>
      <c r="R46" s="14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5"/>
      <c r="D3" s="15"/>
      <c r="E3" s="15"/>
      <c r="F3" s="15"/>
      <c r="G3" s="15"/>
      <c r="H3" s="15"/>
      <c r="I3" s="15">
        <v>9.0</v>
      </c>
      <c r="J3" s="15">
        <v>2.0</v>
      </c>
      <c r="K3" s="15"/>
      <c r="L3" s="15"/>
      <c r="M3" s="15">
        <v>6.0</v>
      </c>
      <c r="N3" s="15">
        <v>3.0</v>
      </c>
      <c r="O3" s="15">
        <v>2.0</v>
      </c>
      <c r="P3" s="15"/>
      <c r="Q3" s="17">
        <f t="shared" ref="Q3:Q14" si="1">SUM(C3:P3)</f>
        <v>22</v>
      </c>
      <c r="R3" s="18">
        <f t="shared" ref="R3:R14" si="2">Q3/$Q$15</f>
        <v>0.03565640194</v>
      </c>
    </row>
    <row r="4" ht="14.25" customHeight="1">
      <c r="A4" s="15" t="s">
        <v>22</v>
      </c>
      <c r="B4" s="15" t="s">
        <v>24</v>
      </c>
      <c r="C4" s="15"/>
      <c r="D4" s="15"/>
      <c r="E4" s="15"/>
      <c r="F4" s="15"/>
      <c r="G4" s="15"/>
      <c r="H4" s="15"/>
      <c r="I4" s="15">
        <v>23.0</v>
      </c>
      <c r="J4" s="15">
        <v>21.0</v>
      </c>
      <c r="K4" s="15"/>
      <c r="L4" s="15"/>
      <c r="M4" s="15">
        <v>23.0</v>
      </c>
      <c r="N4" s="15">
        <v>25.0</v>
      </c>
      <c r="O4" s="15">
        <v>15.0</v>
      </c>
      <c r="P4" s="15"/>
      <c r="Q4" s="17">
        <f t="shared" si="1"/>
        <v>107</v>
      </c>
      <c r="R4" s="18">
        <f t="shared" si="2"/>
        <v>0.1734197731</v>
      </c>
    </row>
    <row r="5" ht="14.25" customHeight="1">
      <c r="A5" s="15" t="s">
        <v>22</v>
      </c>
      <c r="B5" s="15" t="s">
        <v>25</v>
      </c>
      <c r="C5" s="15"/>
      <c r="D5" s="15"/>
      <c r="E5" s="15"/>
      <c r="F5" s="15"/>
      <c r="G5" s="15"/>
      <c r="H5" s="15"/>
      <c r="I5" s="15">
        <v>1.0</v>
      </c>
      <c r="J5" s="15">
        <v>1.0</v>
      </c>
      <c r="K5" s="15"/>
      <c r="L5" s="15"/>
      <c r="M5" s="15">
        <v>1.0</v>
      </c>
      <c r="N5" s="15">
        <v>1.0</v>
      </c>
      <c r="O5" s="15">
        <v>1.0</v>
      </c>
      <c r="P5" s="15"/>
      <c r="Q5" s="17">
        <f t="shared" si="1"/>
        <v>5</v>
      </c>
      <c r="R5" s="18">
        <f t="shared" si="2"/>
        <v>0.008103727715</v>
      </c>
    </row>
    <row r="6" ht="14.25" customHeight="1">
      <c r="A6" s="15" t="s">
        <v>25</v>
      </c>
      <c r="B6" s="15" t="s">
        <v>22</v>
      </c>
      <c r="C6" s="15"/>
      <c r="D6" s="15"/>
      <c r="E6" s="15"/>
      <c r="F6" s="15"/>
      <c r="G6" s="15"/>
      <c r="H6" s="15"/>
      <c r="I6" s="15">
        <v>4.0</v>
      </c>
      <c r="J6" s="15">
        <v>3.0</v>
      </c>
      <c r="K6" s="15"/>
      <c r="L6" s="15"/>
      <c r="M6" s="15">
        <v>3.0</v>
      </c>
      <c r="N6" s="15">
        <v>4.0</v>
      </c>
      <c r="O6" s="15">
        <v>4.0</v>
      </c>
      <c r="P6" s="15"/>
      <c r="Q6" s="17">
        <f t="shared" si="1"/>
        <v>18</v>
      </c>
      <c r="R6" s="18">
        <f t="shared" si="2"/>
        <v>0.02917341977</v>
      </c>
    </row>
    <row r="7" ht="14.25" customHeight="1">
      <c r="A7" s="15" t="s">
        <v>25</v>
      </c>
      <c r="B7" s="15" t="s">
        <v>23</v>
      </c>
      <c r="C7" s="15"/>
      <c r="D7" s="15"/>
      <c r="E7" s="15"/>
      <c r="F7" s="15"/>
      <c r="G7" s="15"/>
      <c r="H7" s="15"/>
      <c r="I7" s="15">
        <v>22.0</v>
      </c>
      <c r="J7" s="15">
        <v>19.0</v>
      </c>
      <c r="K7" s="15"/>
      <c r="L7" s="15"/>
      <c r="M7" s="15">
        <v>21.0</v>
      </c>
      <c r="N7" s="15">
        <v>39.0</v>
      </c>
      <c r="O7" s="15">
        <v>33.0</v>
      </c>
      <c r="P7" s="15"/>
      <c r="Q7" s="17">
        <f t="shared" si="1"/>
        <v>134</v>
      </c>
      <c r="R7" s="18">
        <f t="shared" si="2"/>
        <v>0.2171799028</v>
      </c>
    </row>
    <row r="8" ht="14.25" customHeight="1">
      <c r="A8" s="15" t="s">
        <v>25</v>
      </c>
      <c r="B8" s="15" t="s">
        <v>24</v>
      </c>
      <c r="C8" s="15"/>
      <c r="D8" s="15"/>
      <c r="E8" s="15"/>
      <c r="F8" s="15"/>
      <c r="G8" s="15"/>
      <c r="H8" s="15"/>
      <c r="I8" s="15">
        <v>0.0</v>
      </c>
      <c r="J8" s="15">
        <v>0.0</v>
      </c>
      <c r="K8" s="15"/>
      <c r="L8" s="15"/>
      <c r="M8" s="15">
        <v>0.0</v>
      </c>
      <c r="N8" s="15">
        <v>2.0</v>
      </c>
      <c r="O8" s="15">
        <v>6.0</v>
      </c>
      <c r="P8" s="15"/>
      <c r="Q8" s="17">
        <f t="shared" si="1"/>
        <v>8</v>
      </c>
      <c r="R8" s="18">
        <f t="shared" si="2"/>
        <v>0.01296596434</v>
      </c>
    </row>
    <row r="9" ht="14.25" customHeight="1">
      <c r="A9" s="15" t="s">
        <v>24</v>
      </c>
      <c r="B9" s="15" t="s">
        <v>25</v>
      </c>
      <c r="C9" s="15"/>
      <c r="D9" s="15"/>
      <c r="E9" s="15"/>
      <c r="F9" s="15"/>
      <c r="G9" s="15"/>
      <c r="H9" s="15"/>
      <c r="I9" s="15">
        <v>0.0</v>
      </c>
      <c r="J9" s="15">
        <v>0.0</v>
      </c>
      <c r="K9" s="15"/>
      <c r="L9" s="15"/>
      <c r="M9" s="15">
        <v>1.0</v>
      </c>
      <c r="N9" s="15">
        <v>1.0</v>
      </c>
      <c r="O9" s="15">
        <v>1.0</v>
      </c>
      <c r="P9" s="15"/>
      <c r="Q9" s="17">
        <f t="shared" si="1"/>
        <v>3</v>
      </c>
      <c r="R9" s="18">
        <f t="shared" si="2"/>
        <v>0.004862236629</v>
      </c>
    </row>
    <row r="10" ht="14.25" customHeight="1">
      <c r="A10" s="15" t="s">
        <v>24</v>
      </c>
      <c r="B10" s="15" t="s">
        <v>22</v>
      </c>
      <c r="C10" s="15"/>
      <c r="D10" s="15"/>
      <c r="E10" s="15"/>
      <c r="F10" s="15"/>
      <c r="G10" s="15"/>
      <c r="H10" s="15"/>
      <c r="I10" s="15">
        <v>13.0</v>
      </c>
      <c r="J10" s="15">
        <v>15.0</v>
      </c>
      <c r="K10" s="15"/>
      <c r="L10" s="15"/>
      <c r="M10" s="15">
        <v>16.0</v>
      </c>
      <c r="N10" s="15">
        <v>17.0</v>
      </c>
      <c r="O10" s="15">
        <v>34.0</v>
      </c>
      <c r="P10" s="15"/>
      <c r="Q10" s="17">
        <f t="shared" si="1"/>
        <v>95</v>
      </c>
      <c r="R10" s="18">
        <f t="shared" si="2"/>
        <v>0.1539708266</v>
      </c>
    </row>
    <row r="11" ht="14.25" customHeight="1">
      <c r="A11" s="15" t="s">
        <v>24</v>
      </c>
      <c r="B11" s="15" t="s">
        <v>23</v>
      </c>
      <c r="C11" s="15"/>
      <c r="D11" s="15"/>
      <c r="E11" s="15"/>
      <c r="F11" s="15"/>
      <c r="G11" s="15"/>
      <c r="H11" s="15"/>
      <c r="I11" s="15">
        <v>24.0</v>
      </c>
      <c r="J11" s="15">
        <v>22.0</v>
      </c>
      <c r="K11" s="15"/>
      <c r="L11" s="15"/>
      <c r="M11" s="15">
        <v>33.0</v>
      </c>
      <c r="N11" s="15">
        <v>52.0</v>
      </c>
      <c r="O11" s="15">
        <v>36.0</v>
      </c>
      <c r="P11" s="15"/>
      <c r="Q11" s="17">
        <f t="shared" si="1"/>
        <v>167</v>
      </c>
      <c r="R11" s="18">
        <f t="shared" si="2"/>
        <v>0.2706645057</v>
      </c>
    </row>
    <row r="12" ht="14.25" customHeight="1">
      <c r="A12" s="15" t="s">
        <v>23</v>
      </c>
      <c r="B12" s="15" t="s">
        <v>24</v>
      </c>
      <c r="C12" s="15"/>
      <c r="D12" s="15"/>
      <c r="E12" s="15"/>
      <c r="F12" s="15"/>
      <c r="G12" s="15"/>
      <c r="H12" s="15"/>
      <c r="I12" s="15">
        <v>11.0</v>
      </c>
      <c r="J12" s="15">
        <v>9.0</v>
      </c>
      <c r="K12" s="15"/>
      <c r="L12" s="15"/>
      <c r="M12" s="15">
        <v>9.0</v>
      </c>
      <c r="N12" s="15">
        <v>7.0</v>
      </c>
      <c r="O12" s="15">
        <v>14.0</v>
      </c>
      <c r="P12" s="15"/>
      <c r="Q12" s="17">
        <f t="shared" si="1"/>
        <v>50</v>
      </c>
      <c r="R12" s="18">
        <f t="shared" si="2"/>
        <v>0.08103727715</v>
      </c>
    </row>
    <row r="13" ht="14.25" customHeight="1">
      <c r="A13" s="15" t="s">
        <v>23</v>
      </c>
      <c r="B13" s="15" t="s">
        <v>25</v>
      </c>
      <c r="C13" s="15"/>
      <c r="D13" s="15"/>
      <c r="E13" s="15"/>
      <c r="F13" s="15"/>
      <c r="G13" s="15"/>
      <c r="H13" s="15"/>
      <c r="I13" s="15">
        <v>1.0</v>
      </c>
      <c r="J13" s="15">
        <v>0.0</v>
      </c>
      <c r="K13" s="15"/>
      <c r="L13" s="15"/>
      <c r="M13" s="15">
        <v>2.0</v>
      </c>
      <c r="N13" s="15">
        <v>0.0</v>
      </c>
      <c r="O13" s="15">
        <v>2.0</v>
      </c>
      <c r="P13" s="15"/>
      <c r="Q13" s="17">
        <f t="shared" si="1"/>
        <v>5</v>
      </c>
      <c r="R13" s="18">
        <f t="shared" si="2"/>
        <v>0.008103727715</v>
      </c>
    </row>
    <row r="14" ht="14.25" customHeight="1">
      <c r="A14" s="15" t="s">
        <v>23</v>
      </c>
      <c r="B14" s="15" t="s">
        <v>22</v>
      </c>
      <c r="C14" s="15"/>
      <c r="D14" s="15"/>
      <c r="E14" s="15"/>
      <c r="F14" s="15"/>
      <c r="G14" s="15"/>
      <c r="H14" s="15"/>
      <c r="I14" s="15">
        <v>2.0</v>
      </c>
      <c r="J14" s="15">
        <v>1.0</v>
      </c>
      <c r="K14" s="15"/>
      <c r="L14" s="15"/>
      <c r="M14" s="15">
        <v>0.0</v>
      </c>
      <c r="N14" s="15">
        <v>0.0</v>
      </c>
      <c r="O14" s="15">
        <v>0.0</v>
      </c>
      <c r="P14" s="15"/>
      <c r="Q14" s="17">
        <f t="shared" si="1"/>
        <v>3</v>
      </c>
      <c r="R14" s="18">
        <f t="shared" si="2"/>
        <v>0.004862236629</v>
      </c>
    </row>
    <row r="15" ht="14.25" customHeight="1">
      <c r="A15" s="19"/>
      <c r="B15" s="19" t="s">
        <v>20</v>
      </c>
      <c r="C15" s="17">
        <f t="shared" ref="C15:Q15" si="3">SUM(C$3:C$14)</f>
        <v>0</v>
      </c>
      <c r="D15" s="17">
        <f t="shared" si="3"/>
        <v>0</v>
      </c>
      <c r="E15" s="17">
        <f t="shared" si="3"/>
        <v>0</v>
      </c>
      <c r="F15" s="17">
        <f t="shared" si="3"/>
        <v>0</v>
      </c>
      <c r="G15" s="17">
        <f t="shared" si="3"/>
        <v>0</v>
      </c>
      <c r="H15" s="17">
        <f t="shared" si="3"/>
        <v>0</v>
      </c>
      <c r="I15" s="17">
        <f t="shared" si="3"/>
        <v>110</v>
      </c>
      <c r="J15" s="17">
        <f t="shared" si="3"/>
        <v>93</v>
      </c>
      <c r="K15" s="17">
        <f t="shared" si="3"/>
        <v>0</v>
      </c>
      <c r="L15" s="17">
        <f t="shared" si="3"/>
        <v>0</v>
      </c>
      <c r="M15" s="17">
        <f t="shared" si="3"/>
        <v>115</v>
      </c>
      <c r="N15" s="17">
        <f t="shared" si="3"/>
        <v>151</v>
      </c>
      <c r="O15" s="17">
        <f t="shared" si="3"/>
        <v>148</v>
      </c>
      <c r="P15" s="17">
        <f t="shared" si="3"/>
        <v>0</v>
      </c>
      <c r="Q15" s="17">
        <f t="shared" si="3"/>
        <v>617</v>
      </c>
      <c r="R15" s="18"/>
    </row>
    <row r="16" ht="13.5" customHeight="1">
      <c r="A16" s="20"/>
      <c r="B16" s="20" t="s">
        <v>26</v>
      </c>
      <c r="C16" s="21">
        <f t="shared" ref="C16:P16" si="4">C15/$Q$15</f>
        <v>0</v>
      </c>
      <c r="D16" s="21">
        <f t="shared" si="4"/>
        <v>0</v>
      </c>
      <c r="E16" s="21">
        <f t="shared" si="4"/>
        <v>0</v>
      </c>
      <c r="F16" s="21">
        <f t="shared" si="4"/>
        <v>0</v>
      </c>
      <c r="G16" s="21">
        <f t="shared" si="4"/>
        <v>0</v>
      </c>
      <c r="H16" s="21">
        <f t="shared" si="4"/>
        <v>0</v>
      </c>
      <c r="I16" s="21">
        <f t="shared" si="4"/>
        <v>0.1782820097</v>
      </c>
      <c r="J16" s="21">
        <f t="shared" si="4"/>
        <v>0.1507293355</v>
      </c>
      <c r="K16" s="21">
        <f t="shared" si="4"/>
        <v>0</v>
      </c>
      <c r="L16" s="21">
        <f t="shared" si="4"/>
        <v>0</v>
      </c>
      <c r="M16" s="21">
        <f t="shared" si="4"/>
        <v>0.1863857374</v>
      </c>
      <c r="N16" s="21">
        <f t="shared" si="4"/>
        <v>0.244732577</v>
      </c>
      <c r="O16" s="21">
        <f t="shared" si="4"/>
        <v>0.2398703404</v>
      </c>
      <c r="P16" s="21">
        <f t="shared" si="4"/>
        <v>0</v>
      </c>
      <c r="Q16" s="21">
        <f>SUM(C16:P16)</f>
        <v>1</v>
      </c>
      <c r="R16" s="18"/>
    </row>
    <row r="17" ht="13.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4"/>
    </row>
    <row r="18" ht="12.0" customHeight="1">
      <c r="A18" s="10" t="s">
        <v>27</v>
      </c>
    </row>
    <row r="19" ht="12.0" customHeight="1">
      <c r="A19" s="25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6"/>
      <c r="B20" s="15" t="s">
        <v>9</v>
      </c>
      <c r="C20" s="15"/>
      <c r="D20" s="15"/>
      <c r="E20" s="15"/>
      <c r="F20" s="15"/>
      <c r="G20" s="15"/>
      <c r="H20" s="15"/>
      <c r="I20" s="15">
        <v>15.0</v>
      </c>
      <c r="J20" s="15">
        <v>8.0</v>
      </c>
      <c r="K20" s="15"/>
      <c r="L20" s="15"/>
      <c r="M20" s="15">
        <v>13.0</v>
      </c>
      <c r="N20" s="15">
        <v>18.0</v>
      </c>
      <c r="O20" s="15">
        <v>15.0</v>
      </c>
      <c r="P20" s="15"/>
      <c r="Q20" s="13">
        <f t="shared" ref="Q20:Q32" si="5">SUM(C20:P20)</f>
        <v>69</v>
      </c>
      <c r="R20" s="14">
        <f t="shared" ref="R20:R26" si="6">Q20/$Q$15</f>
        <v>0.1118314425</v>
      </c>
    </row>
    <row r="21" ht="14.25" customHeight="1">
      <c r="A21" s="26"/>
      <c r="B21" s="15" t="s">
        <v>10</v>
      </c>
      <c r="C21" s="15"/>
      <c r="D21" s="15"/>
      <c r="E21" s="15"/>
      <c r="F21" s="15"/>
      <c r="G21" s="15"/>
      <c r="H21" s="15"/>
      <c r="I21" s="15">
        <v>2.0</v>
      </c>
      <c r="J21" s="15">
        <v>1.0</v>
      </c>
      <c r="K21" s="15"/>
      <c r="L21" s="15"/>
      <c r="M21" s="15">
        <v>0.0</v>
      </c>
      <c r="N21" s="15">
        <v>1.0</v>
      </c>
      <c r="O21" s="15">
        <v>11.0</v>
      </c>
      <c r="P21" s="15"/>
      <c r="Q21" s="13">
        <f t="shared" si="5"/>
        <v>15</v>
      </c>
      <c r="R21" s="14">
        <f t="shared" si="6"/>
        <v>0.02431118314</v>
      </c>
    </row>
    <row r="22" ht="14.25" customHeight="1">
      <c r="A22" s="26"/>
      <c r="B22" s="15" t="s">
        <v>11</v>
      </c>
      <c r="C22" s="15"/>
      <c r="D22" s="15"/>
      <c r="E22" s="15"/>
      <c r="F22" s="15"/>
      <c r="G22" s="15"/>
      <c r="H22" s="15"/>
      <c r="I22" s="15">
        <v>4.0</v>
      </c>
      <c r="J22" s="15">
        <v>0.0</v>
      </c>
      <c r="K22" s="15"/>
      <c r="L22" s="15"/>
      <c r="M22" s="15">
        <v>8.0</v>
      </c>
      <c r="N22" s="15">
        <v>14.0</v>
      </c>
      <c r="O22" s="15">
        <v>8.0</v>
      </c>
      <c r="P22" s="15"/>
      <c r="Q22" s="13">
        <f t="shared" si="5"/>
        <v>34</v>
      </c>
      <c r="R22" s="14">
        <f t="shared" si="6"/>
        <v>0.05510534846</v>
      </c>
    </row>
    <row r="23" ht="14.25" customHeight="1">
      <c r="A23" s="26"/>
      <c r="B23" s="15" t="s">
        <v>30</v>
      </c>
      <c r="C23" s="15"/>
      <c r="D23" s="15"/>
      <c r="E23" s="15"/>
      <c r="F23" s="15"/>
      <c r="G23" s="15"/>
      <c r="H23" s="15"/>
      <c r="I23" s="15">
        <v>6.0</v>
      </c>
      <c r="J23" s="15">
        <v>2.0</v>
      </c>
      <c r="K23" s="15"/>
      <c r="L23" s="15"/>
      <c r="M23" s="15">
        <v>1.0</v>
      </c>
      <c r="N23" s="15">
        <v>13.0</v>
      </c>
      <c r="O23" s="15">
        <v>2.0</v>
      </c>
      <c r="P23" s="15"/>
      <c r="Q23" s="13">
        <f t="shared" si="5"/>
        <v>24</v>
      </c>
      <c r="R23" s="14">
        <f t="shared" si="6"/>
        <v>0.03889789303</v>
      </c>
    </row>
    <row r="24" ht="14.25" customHeight="1">
      <c r="A24" s="26"/>
      <c r="B24" s="15" t="s">
        <v>31</v>
      </c>
      <c r="C24" s="15"/>
      <c r="D24" s="15"/>
      <c r="E24" s="15"/>
      <c r="F24" s="15"/>
      <c r="G24" s="15"/>
      <c r="H24" s="15"/>
      <c r="I24" s="15">
        <v>2.0</v>
      </c>
      <c r="J24" s="15">
        <v>1.0</v>
      </c>
      <c r="K24" s="15"/>
      <c r="L24" s="15"/>
      <c r="M24" s="15">
        <v>2.0</v>
      </c>
      <c r="N24" s="15">
        <v>2.0</v>
      </c>
      <c r="O24" s="15">
        <v>2.0</v>
      </c>
      <c r="P24" s="15"/>
      <c r="Q24" s="13">
        <f t="shared" si="5"/>
        <v>9</v>
      </c>
      <c r="R24" s="14">
        <f t="shared" si="6"/>
        <v>0.01458670989</v>
      </c>
    </row>
    <row r="25" ht="14.25" customHeight="1">
      <c r="A25" s="26"/>
      <c r="B25" s="15" t="s">
        <v>32</v>
      </c>
      <c r="C25" s="15"/>
      <c r="D25" s="15"/>
      <c r="E25" s="15"/>
      <c r="F25" s="15"/>
      <c r="G25" s="15"/>
      <c r="H25" s="15"/>
      <c r="I25" s="15">
        <v>1.0</v>
      </c>
      <c r="J25" s="15">
        <v>2.0</v>
      </c>
      <c r="K25" s="15"/>
      <c r="L25" s="15"/>
      <c r="M25" s="15">
        <v>0.0</v>
      </c>
      <c r="N25" s="15">
        <v>0.0</v>
      </c>
      <c r="O25" s="15">
        <v>1.0</v>
      </c>
      <c r="P25" s="15"/>
      <c r="Q25" s="13">
        <f t="shared" si="5"/>
        <v>4</v>
      </c>
      <c r="R25" s="14">
        <f t="shared" si="6"/>
        <v>0.006482982172</v>
      </c>
    </row>
    <row r="26" ht="14.25" customHeight="1">
      <c r="A26" s="26"/>
      <c r="B26" s="15" t="s">
        <v>33</v>
      </c>
      <c r="C26" s="15"/>
      <c r="D26" s="15"/>
      <c r="E26" s="15"/>
      <c r="F26" s="15"/>
      <c r="G26" s="15"/>
      <c r="H26" s="15"/>
      <c r="I26" s="15">
        <v>11.0</v>
      </c>
      <c r="J26" s="15">
        <v>11.0</v>
      </c>
      <c r="K26" s="15"/>
      <c r="L26" s="15"/>
      <c r="M26" s="15">
        <v>16.0</v>
      </c>
      <c r="N26" s="15">
        <v>7.0</v>
      </c>
      <c r="O26" s="15">
        <v>5.0</v>
      </c>
      <c r="P26" s="15"/>
      <c r="Q26" s="13">
        <f t="shared" si="5"/>
        <v>50</v>
      </c>
      <c r="R26" s="14">
        <f t="shared" si="6"/>
        <v>0.08103727715</v>
      </c>
    </row>
    <row r="27" ht="14.25" customHeight="1">
      <c r="A27" s="26"/>
      <c r="B27" s="34" t="s">
        <v>34</v>
      </c>
      <c r="C27" s="15"/>
      <c r="D27" s="15"/>
      <c r="E27" s="15"/>
      <c r="F27" s="15"/>
      <c r="G27" s="15"/>
      <c r="H27" s="15"/>
      <c r="I27" s="15">
        <v>6.0</v>
      </c>
      <c r="J27" s="15">
        <v>9.0</v>
      </c>
      <c r="K27" s="15"/>
      <c r="L27" s="15"/>
      <c r="M27" s="15">
        <v>5.0</v>
      </c>
      <c r="N27" s="15">
        <v>3.0</v>
      </c>
      <c r="O27" s="15">
        <v>10.0</v>
      </c>
      <c r="P27" s="15"/>
      <c r="Q27" s="13">
        <f t="shared" si="5"/>
        <v>33</v>
      </c>
      <c r="R27" s="14"/>
    </row>
    <row r="28" ht="14.25" customHeight="1">
      <c r="A28" s="26"/>
      <c r="B28" s="15" t="s">
        <v>14</v>
      </c>
      <c r="C28" s="15"/>
      <c r="D28" s="15"/>
      <c r="E28" s="15"/>
      <c r="F28" s="15"/>
      <c r="G28" s="15"/>
      <c r="H28" s="15"/>
      <c r="I28" s="15">
        <v>8.0</v>
      </c>
      <c r="J28" s="15">
        <v>4.0</v>
      </c>
      <c r="K28" s="15"/>
      <c r="L28" s="15"/>
      <c r="M28" s="15">
        <v>2.0</v>
      </c>
      <c r="N28" s="15">
        <v>0.0</v>
      </c>
      <c r="O28" s="15">
        <v>0.0</v>
      </c>
      <c r="P28" s="15"/>
      <c r="Q28" s="13">
        <f t="shared" si="5"/>
        <v>14</v>
      </c>
      <c r="R28" s="14">
        <f>Q28/$Q$15</f>
        <v>0.0226904376</v>
      </c>
    </row>
    <row r="29" ht="14.25" customHeight="1">
      <c r="A29" s="26"/>
      <c r="B29" s="15" t="s">
        <v>35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3">
        <f t="shared" si="5"/>
        <v>0</v>
      </c>
      <c r="R29" s="14"/>
    </row>
    <row r="30" ht="14.25" customHeight="1">
      <c r="A30" s="26"/>
      <c r="B30" s="15" t="s">
        <v>36</v>
      </c>
      <c r="C30" s="15"/>
      <c r="D30" s="15"/>
      <c r="E30" s="15"/>
      <c r="F30" s="15"/>
      <c r="G30" s="15"/>
      <c r="H30" s="15"/>
      <c r="I30" s="15">
        <v>19.0</v>
      </c>
      <c r="J30" s="15">
        <v>14.0</v>
      </c>
      <c r="K30" s="15"/>
      <c r="L30" s="15"/>
      <c r="M30" s="15">
        <v>11.0</v>
      </c>
      <c r="N30" s="15">
        <v>4.0</v>
      </c>
      <c r="O30" s="15">
        <v>24.0</v>
      </c>
      <c r="P30" s="15"/>
      <c r="Q30" s="13">
        <f t="shared" si="5"/>
        <v>72</v>
      </c>
      <c r="R30" s="14">
        <f t="shared" ref="R30:R32" si="7">Q30/$Q$15</f>
        <v>0.1166936791</v>
      </c>
    </row>
    <row r="31" ht="14.25" customHeight="1">
      <c r="A31" s="26"/>
      <c r="B31" s="15" t="s">
        <v>37</v>
      </c>
      <c r="C31" s="15"/>
      <c r="D31" s="15"/>
      <c r="E31" s="15"/>
      <c r="F31" s="15"/>
      <c r="G31" s="15"/>
      <c r="H31" s="15"/>
      <c r="I31" s="15">
        <v>22.0</v>
      </c>
      <c r="J31" s="15">
        <v>19.0</v>
      </c>
      <c r="K31" s="15"/>
      <c r="L31" s="15"/>
      <c r="M31" s="15">
        <v>29.0</v>
      </c>
      <c r="N31" s="15">
        <v>43.0</v>
      </c>
      <c r="O31" s="15">
        <v>23.0</v>
      </c>
      <c r="P31" s="15"/>
      <c r="Q31" s="13">
        <f t="shared" si="5"/>
        <v>136</v>
      </c>
      <c r="R31" s="14">
        <f t="shared" si="7"/>
        <v>0.2204213938</v>
      </c>
    </row>
    <row r="32" ht="14.25" customHeight="1">
      <c r="A32" s="26"/>
      <c r="B32" s="15" t="s">
        <v>16</v>
      </c>
      <c r="C32" s="15"/>
      <c r="D32" s="15"/>
      <c r="E32" s="15"/>
      <c r="F32" s="15"/>
      <c r="G32" s="15"/>
      <c r="H32" s="15"/>
      <c r="I32" s="15">
        <v>6.0</v>
      </c>
      <c r="J32" s="15">
        <v>4.0</v>
      </c>
      <c r="K32" s="15"/>
      <c r="L32" s="15"/>
      <c r="M32" s="15">
        <v>0.0</v>
      </c>
      <c r="N32" s="15">
        <v>0.0</v>
      </c>
      <c r="O32" s="15">
        <v>7.0</v>
      </c>
      <c r="P32" s="15"/>
      <c r="Q32" s="13">
        <f t="shared" si="5"/>
        <v>17</v>
      </c>
      <c r="R32" s="14">
        <f t="shared" si="7"/>
        <v>0.02755267423</v>
      </c>
    </row>
    <row r="33" ht="14.25" customHeight="1">
      <c r="A33" s="31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3"/>
    </row>
    <row r="34" ht="14.25" customHeight="1">
      <c r="A34" s="10" t="s">
        <v>29</v>
      </c>
    </row>
    <row r="35" ht="14.25" customHeight="1">
      <c r="A35" s="25"/>
      <c r="B35" s="11" t="s">
        <v>28</v>
      </c>
      <c r="C35" s="12">
        <v>6.0</v>
      </c>
      <c r="D35" s="12">
        <v>7.0</v>
      </c>
      <c r="E35" s="12">
        <v>8.0</v>
      </c>
      <c r="F35" s="12">
        <v>9.0</v>
      </c>
      <c r="G35" s="12">
        <v>10.0</v>
      </c>
      <c r="H35" s="12">
        <v>11.0</v>
      </c>
      <c r="I35" s="12">
        <v>12.0</v>
      </c>
      <c r="J35" s="12">
        <v>13.0</v>
      </c>
      <c r="K35" s="12">
        <v>14.0</v>
      </c>
      <c r="L35" s="12">
        <v>15.0</v>
      </c>
      <c r="M35" s="12">
        <v>16.0</v>
      </c>
      <c r="N35" s="12">
        <v>17.0</v>
      </c>
      <c r="O35" s="12">
        <v>18.0</v>
      </c>
      <c r="P35" s="12">
        <v>19.0</v>
      </c>
      <c r="Q35" s="13" t="s">
        <v>20</v>
      </c>
      <c r="R35" s="14" t="s">
        <v>21</v>
      </c>
    </row>
    <row r="36" ht="14.25" customHeight="1">
      <c r="A36" s="26"/>
      <c r="B36" s="34" t="s">
        <v>38</v>
      </c>
      <c r="C36" s="15"/>
      <c r="D36" s="15"/>
      <c r="E36" s="15"/>
      <c r="F36" s="15"/>
      <c r="G36" s="15"/>
      <c r="H36" s="15"/>
      <c r="I36" s="15">
        <v>13.0</v>
      </c>
      <c r="J36" s="15">
        <v>6.0</v>
      </c>
      <c r="K36" s="15"/>
      <c r="L36" s="15"/>
      <c r="M36" s="15">
        <v>0.0</v>
      </c>
      <c r="N36" s="15">
        <v>20.0</v>
      </c>
      <c r="O36" s="15">
        <v>16.0</v>
      </c>
      <c r="P36" s="15"/>
      <c r="Q36" s="13">
        <f t="shared" ref="Q36:Q40" si="8">SUM(C36:P36)</f>
        <v>55</v>
      </c>
      <c r="R36" s="14">
        <f t="shared" ref="R36:R40" si="9">Q36/$Q$15</f>
        <v>0.08914100486</v>
      </c>
    </row>
    <row r="37" ht="14.25" customHeight="1">
      <c r="A37" s="26"/>
      <c r="B37" s="35" t="s">
        <v>39</v>
      </c>
      <c r="C37" s="15"/>
      <c r="D37" s="15"/>
      <c r="E37" s="15"/>
      <c r="F37" s="15"/>
      <c r="G37" s="15"/>
      <c r="H37" s="15"/>
      <c r="I37" s="15">
        <v>0.0</v>
      </c>
      <c r="J37" s="15">
        <v>0.0</v>
      </c>
      <c r="K37" s="15"/>
      <c r="L37" s="15"/>
      <c r="M37" s="15">
        <v>0.0</v>
      </c>
      <c r="N37" s="15">
        <v>0.0</v>
      </c>
      <c r="O37" s="15">
        <v>0.0</v>
      </c>
      <c r="P37" s="15"/>
      <c r="Q37" s="13">
        <f t="shared" si="8"/>
        <v>0</v>
      </c>
      <c r="R37" s="14">
        <f t="shared" si="9"/>
        <v>0</v>
      </c>
    </row>
    <row r="38" ht="14.25" customHeight="1">
      <c r="A38" s="26"/>
      <c r="B38" s="35" t="s">
        <v>40</v>
      </c>
      <c r="C38" s="15"/>
      <c r="D38" s="15"/>
      <c r="E38" s="15"/>
      <c r="F38" s="15"/>
      <c r="G38" s="15"/>
      <c r="H38" s="15"/>
      <c r="I38" s="15">
        <v>0.0</v>
      </c>
      <c r="J38" s="15">
        <v>0.0</v>
      </c>
      <c r="K38" s="15"/>
      <c r="L38" s="15"/>
      <c r="M38" s="15">
        <v>0.0</v>
      </c>
      <c r="N38" s="15">
        <v>0.0</v>
      </c>
      <c r="O38" s="15">
        <v>0.0</v>
      </c>
      <c r="P38" s="15"/>
      <c r="Q38" s="13">
        <f t="shared" si="8"/>
        <v>0</v>
      </c>
      <c r="R38" s="14">
        <f t="shared" si="9"/>
        <v>0</v>
      </c>
    </row>
    <row r="39" ht="14.25" customHeight="1">
      <c r="A39" s="26"/>
      <c r="B39" s="35" t="s">
        <v>41</v>
      </c>
      <c r="C39" s="15"/>
      <c r="D39" s="15"/>
      <c r="E39" s="15"/>
      <c r="F39" s="15"/>
      <c r="G39" s="15"/>
      <c r="H39" s="15"/>
      <c r="I39" s="15">
        <v>0.0</v>
      </c>
      <c r="J39" s="15">
        <v>0.0</v>
      </c>
      <c r="K39" s="15"/>
      <c r="L39" s="15"/>
      <c r="M39" s="15">
        <v>0.0</v>
      </c>
      <c r="N39" s="15">
        <v>0.0</v>
      </c>
      <c r="O39" s="15">
        <v>0.0</v>
      </c>
      <c r="P39" s="15"/>
      <c r="Q39" s="13">
        <f t="shared" si="8"/>
        <v>0</v>
      </c>
      <c r="R39" s="14">
        <f t="shared" si="9"/>
        <v>0</v>
      </c>
    </row>
    <row r="40" ht="14.25" customHeight="1">
      <c r="A40" s="26"/>
      <c r="B40" s="34" t="s">
        <v>42</v>
      </c>
      <c r="C40" s="15"/>
      <c r="D40" s="15"/>
      <c r="E40" s="15"/>
      <c r="F40" s="15"/>
      <c r="G40" s="15"/>
      <c r="H40" s="15"/>
      <c r="I40" s="15">
        <v>0.0</v>
      </c>
      <c r="J40" s="15">
        <v>0.0</v>
      </c>
      <c r="K40" s="15"/>
      <c r="L40" s="15"/>
      <c r="M40" s="15">
        <v>0.0</v>
      </c>
      <c r="N40" s="15">
        <v>0.0</v>
      </c>
      <c r="O40" s="15">
        <v>0.0</v>
      </c>
      <c r="P40" s="15"/>
      <c r="Q40" s="13">
        <f t="shared" si="8"/>
        <v>0</v>
      </c>
      <c r="R40" s="14">
        <f t="shared" si="9"/>
        <v>0</v>
      </c>
    </row>
    <row r="41" ht="14.25" customHeight="1">
      <c r="A41" s="26"/>
      <c r="B41" s="34" t="s">
        <v>43</v>
      </c>
      <c r="C41" s="15"/>
      <c r="D41" s="15"/>
      <c r="E41" s="15"/>
      <c r="F41" s="15"/>
      <c r="G41" s="15"/>
      <c r="H41" s="15"/>
      <c r="I41" s="15">
        <v>0.0</v>
      </c>
      <c r="J41" s="15">
        <v>0.0</v>
      </c>
      <c r="K41" s="15"/>
      <c r="L41" s="15"/>
      <c r="M41" s="15">
        <v>0.0</v>
      </c>
      <c r="N41" s="15">
        <v>0.0</v>
      </c>
      <c r="O41" s="15">
        <v>0.0</v>
      </c>
      <c r="P41" s="15"/>
      <c r="Q41" s="13"/>
      <c r="R41" s="14"/>
    </row>
    <row r="42" ht="14.25" customHeight="1">
      <c r="A42" s="26"/>
      <c r="B42" s="34" t="s">
        <v>44</v>
      </c>
      <c r="C42" s="15"/>
      <c r="D42" s="15"/>
      <c r="E42" s="15"/>
      <c r="F42" s="15"/>
      <c r="G42" s="15"/>
      <c r="H42" s="15"/>
      <c r="I42" s="15">
        <v>2.0</v>
      </c>
      <c r="J42" s="15">
        <v>3.0</v>
      </c>
      <c r="K42" s="15"/>
      <c r="L42" s="15"/>
      <c r="M42" s="15">
        <v>3.0</v>
      </c>
      <c r="N42" s="15">
        <v>1.0</v>
      </c>
      <c r="O42" s="15">
        <v>0.0</v>
      </c>
      <c r="P42" s="15"/>
      <c r="Q42" s="13"/>
      <c r="R42" s="14"/>
    </row>
  </sheetData>
  <mergeCells count="3">
    <mergeCell ref="A1:R1"/>
    <mergeCell ref="A18:R18"/>
    <mergeCell ref="A34:R34"/>
  </mergeCell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36">
        <v>10.0</v>
      </c>
      <c r="D3" s="36">
        <v>12.0</v>
      </c>
      <c r="E3" s="36">
        <v>6.0</v>
      </c>
      <c r="F3" s="36">
        <v>5.0</v>
      </c>
      <c r="G3" s="36">
        <v>16.0</v>
      </c>
      <c r="H3" s="36">
        <v>9.0</v>
      </c>
      <c r="I3" s="36">
        <v>6.0</v>
      </c>
      <c r="J3" s="36">
        <v>4.0</v>
      </c>
      <c r="K3" s="36">
        <v>12.0</v>
      </c>
      <c r="L3" s="36">
        <v>3.0</v>
      </c>
      <c r="M3" s="36">
        <v>9.0</v>
      </c>
      <c r="N3" s="36">
        <v>2.0</v>
      </c>
      <c r="O3" s="36">
        <v>4.0</v>
      </c>
      <c r="P3" s="36">
        <v>8.0</v>
      </c>
      <c r="Q3" s="17">
        <f t="shared" ref="Q3:Q14" si="1">SUM(C3:P3)</f>
        <v>106</v>
      </c>
      <c r="R3" s="18">
        <f t="shared" ref="R3:R14" si="2">Q3/$Q$15</f>
        <v>0.09698078683</v>
      </c>
    </row>
    <row r="4" ht="14.25" customHeight="1">
      <c r="A4" s="15" t="s">
        <v>22</v>
      </c>
      <c r="B4" s="15" t="s">
        <v>24</v>
      </c>
      <c r="C4" s="37">
        <v>1.0</v>
      </c>
      <c r="D4" s="37">
        <v>1.0</v>
      </c>
      <c r="E4" s="37">
        <v>3.0</v>
      </c>
      <c r="F4" s="37">
        <v>1.0</v>
      </c>
      <c r="G4" s="37">
        <v>3.0</v>
      </c>
      <c r="H4" s="37">
        <v>1.0</v>
      </c>
      <c r="I4" s="37">
        <v>0.0</v>
      </c>
      <c r="J4" s="37">
        <v>1.0</v>
      </c>
      <c r="K4" s="37">
        <v>0.0</v>
      </c>
      <c r="L4" s="37">
        <v>2.0</v>
      </c>
      <c r="M4" s="37">
        <v>1.0</v>
      </c>
      <c r="N4" s="37">
        <v>1.0</v>
      </c>
      <c r="O4" s="37">
        <v>1.0</v>
      </c>
      <c r="P4" s="37">
        <v>0.0</v>
      </c>
      <c r="Q4" s="17">
        <f t="shared" si="1"/>
        <v>16</v>
      </c>
      <c r="R4" s="18">
        <f t="shared" si="2"/>
        <v>0.01463860933</v>
      </c>
    </row>
    <row r="5" ht="14.25" customHeight="1">
      <c r="A5" s="15" t="s">
        <v>22</v>
      </c>
      <c r="B5" s="15" t="s">
        <v>25</v>
      </c>
      <c r="C5" s="36">
        <v>1.0</v>
      </c>
      <c r="D5" s="36">
        <v>1.0</v>
      </c>
      <c r="E5" s="36">
        <v>0.0</v>
      </c>
      <c r="F5" s="36">
        <v>0.0</v>
      </c>
      <c r="G5" s="36">
        <v>1.0</v>
      </c>
      <c r="H5" s="36">
        <v>3.0</v>
      </c>
      <c r="I5" s="36">
        <v>1.0</v>
      </c>
      <c r="J5" s="36">
        <v>0.0</v>
      </c>
      <c r="K5" s="36">
        <v>4.0</v>
      </c>
      <c r="L5" s="36">
        <v>1.0</v>
      </c>
      <c r="M5" s="36">
        <v>0.0</v>
      </c>
      <c r="N5" s="36">
        <v>0.0</v>
      </c>
      <c r="O5" s="36">
        <v>1.0</v>
      </c>
      <c r="P5" s="36">
        <v>0.0</v>
      </c>
      <c r="Q5" s="17">
        <f t="shared" si="1"/>
        <v>13</v>
      </c>
      <c r="R5" s="18">
        <f t="shared" si="2"/>
        <v>0.01189387008</v>
      </c>
    </row>
    <row r="6" ht="14.25" customHeight="1">
      <c r="A6" s="15" t="s">
        <v>25</v>
      </c>
      <c r="B6" s="15" t="s">
        <v>22</v>
      </c>
      <c r="C6" s="37">
        <v>1.0</v>
      </c>
      <c r="D6" s="37">
        <v>3.0</v>
      </c>
      <c r="E6" s="37">
        <v>2.0</v>
      </c>
      <c r="F6" s="37">
        <v>1.0</v>
      </c>
      <c r="G6" s="37">
        <v>8.0</v>
      </c>
      <c r="H6" s="37">
        <v>9.0</v>
      </c>
      <c r="I6" s="37">
        <v>3.0</v>
      </c>
      <c r="J6" s="37">
        <v>1.0</v>
      </c>
      <c r="K6" s="37">
        <v>5.0</v>
      </c>
      <c r="L6" s="37">
        <v>2.0</v>
      </c>
      <c r="M6" s="37">
        <v>0.0</v>
      </c>
      <c r="N6" s="37">
        <v>2.0</v>
      </c>
      <c r="O6" s="37">
        <v>3.0</v>
      </c>
      <c r="P6" s="37">
        <v>5.0</v>
      </c>
      <c r="Q6" s="17">
        <f t="shared" si="1"/>
        <v>45</v>
      </c>
      <c r="R6" s="18">
        <f t="shared" si="2"/>
        <v>0.04117108875</v>
      </c>
    </row>
    <row r="7" ht="14.25" customHeight="1">
      <c r="A7" s="15" t="s">
        <v>25</v>
      </c>
      <c r="B7" s="15" t="s">
        <v>23</v>
      </c>
      <c r="C7" s="36">
        <v>16.0</v>
      </c>
      <c r="D7" s="36">
        <v>12.0</v>
      </c>
      <c r="E7" s="36">
        <v>35.0</v>
      </c>
      <c r="F7" s="36">
        <v>18.0</v>
      </c>
      <c r="G7" s="36">
        <v>11.0</v>
      </c>
      <c r="H7" s="36">
        <v>16.0</v>
      </c>
      <c r="I7" s="36">
        <v>19.0</v>
      </c>
      <c r="J7" s="36">
        <v>15.0</v>
      </c>
      <c r="K7" s="36">
        <v>18.0</v>
      </c>
      <c r="L7" s="36">
        <v>19.0</v>
      </c>
      <c r="M7" s="36">
        <v>18.0</v>
      </c>
      <c r="N7" s="36">
        <v>16.0</v>
      </c>
      <c r="O7" s="36">
        <v>14.0</v>
      </c>
      <c r="P7" s="36">
        <v>7.0</v>
      </c>
      <c r="Q7" s="17">
        <f t="shared" si="1"/>
        <v>234</v>
      </c>
      <c r="R7" s="18">
        <f t="shared" si="2"/>
        <v>0.2140896615</v>
      </c>
    </row>
    <row r="8" ht="14.25" customHeight="1">
      <c r="A8" s="15" t="s">
        <v>25</v>
      </c>
      <c r="B8" s="15" t="s">
        <v>24</v>
      </c>
      <c r="C8" s="37">
        <v>1.0</v>
      </c>
      <c r="D8" s="37">
        <v>3.0</v>
      </c>
      <c r="E8" s="37">
        <v>1.0</v>
      </c>
      <c r="F8" s="37">
        <v>1.0</v>
      </c>
      <c r="G8" s="37">
        <v>0.0</v>
      </c>
      <c r="H8" s="37">
        <v>0.0</v>
      </c>
      <c r="I8" s="37">
        <v>2.0</v>
      </c>
      <c r="J8" s="37">
        <v>0.0</v>
      </c>
      <c r="K8" s="37">
        <v>3.0</v>
      </c>
      <c r="L8" s="37">
        <v>1.0</v>
      </c>
      <c r="M8" s="37">
        <v>1.0</v>
      </c>
      <c r="N8" s="37">
        <v>1.0</v>
      </c>
      <c r="O8" s="37">
        <v>0.0</v>
      </c>
      <c r="P8" s="37">
        <v>1.0</v>
      </c>
      <c r="Q8" s="17">
        <f t="shared" si="1"/>
        <v>15</v>
      </c>
      <c r="R8" s="18">
        <f t="shared" si="2"/>
        <v>0.01372369625</v>
      </c>
    </row>
    <row r="9" ht="14.25" customHeight="1">
      <c r="A9" s="15" t="s">
        <v>24</v>
      </c>
      <c r="B9" s="15" t="s">
        <v>25</v>
      </c>
      <c r="C9" s="36">
        <v>0.0</v>
      </c>
      <c r="D9" s="36">
        <v>2.0</v>
      </c>
      <c r="E9" s="36">
        <v>1.0</v>
      </c>
      <c r="F9" s="36">
        <v>4.0</v>
      </c>
      <c r="G9" s="36">
        <v>2.0</v>
      </c>
      <c r="H9" s="36">
        <v>1.0</v>
      </c>
      <c r="I9" s="36">
        <v>2.0</v>
      </c>
      <c r="J9" s="36">
        <v>0.0</v>
      </c>
      <c r="K9" s="36">
        <v>3.0</v>
      </c>
      <c r="L9" s="36">
        <v>0.0</v>
      </c>
      <c r="M9" s="36">
        <v>4.0</v>
      </c>
      <c r="N9" s="36">
        <v>4.0</v>
      </c>
      <c r="O9" s="36">
        <v>4.0</v>
      </c>
      <c r="P9" s="36">
        <v>3.0</v>
      </c>
      <c r="Q9" s="17">
        <f t="shared" si="1"/>
        <v>30</v>
      </c>
      <c r="R9" s="18">
        <f t="shared" si="2"/>
        <v>0.0274473925</v>
      </c>
    </row>
    <row r="10" ht="14.25" customHeight="1">
      <c r="A10" s="15" t="s">
        <v>24</v>
      </c>
      <c r="B10" s="15" t="s">
        <v>22</v>
      </c>
      <c r="C10" s="37">
        <v>3.0</v>
      </c>
      <c r="D10" s="37">
        <v>13.0</v>
      </c>
      <c r="E10" s="37">
        <v>8.0</v>
      </c>
      <c r="F10" s="37">
        <v>14.0</v>
      </c>
      <c r="G10" s="37">
        <v>10.0</v>
      </c>
      <c r="H10" s="37">
        <v>7.0</v>
      </c>
      <c r="I10" s="37">
        <v>10.0</v>
      </c>
      <c r="J10" s="37">
        <v>6.0</v>
      </c>
      <c r="K10" s="37">
        <v>11.0</v>
      </c>
      <c r="L10" s="37">
        <v>10.0</v>
      </c>
      <c r="M10" s="37">
        <v>20.0</v>
      </c>
      <c r="N10" s="37">
        <v>22.0</v>
      </c>
      <c r="O10" s="37">
        <v>27.0</v>
      </c>
      <c r="P10" s="37">
        <v>16.0</v>
      </c>
      <c r="Q10" s="17">
        <f t="shared" si="1"/>
        <v>177</v>
      </c>
      <c r="R10" s="18">
        <f t="shared" si="2"/>
        <v>0.1619396157</v>
      </c>
    </row>
    <row r="11" ht="14.25" customHeight="1">
      <c r="A11" s="15" t="s">
        <v>24</v>
      </c>
      <c r="B11" s="15" t="s">
        <v>23</v>
      </c>
      <c r="C11" s="36">
        <v>1.0</v>
      </c>
      <c r="D11" s="36">
        <v>1.0</v>
      </c>
      <c r="E11" s="36">
        <v>2.0</v>
      </c>
      <c r="F11" s="36">
        <v>2.0</v>
      </c>
      <c r="G11" s="36">
        <v>2.0</v>
      </c>
      <c r="H11" s="36">
        <v>1.0</v>
      </c>
      <c r="I11" s="36">
        <v>3.0</v>
      </c>
      <c r="J11" s="36">
        <v>1.0</v>
      </c>
      <c r="K11" s="36">
        <v>1.0</v>
      </c>
      <c r="L11" s="36">
        <v>0.0</v>
      </c>
      <c r="M11" s="36">
        <v>1.0</v>
      </c>
      <c r="N11" s="36">
        <v>3.0</v>
      </c>
      <c r="O11" s="36">
        <v>3.0</v>
      </c>
      <c r="P11" s="36">
        <v>0.0</v>
      </c>
      <c r="Q11" s="17">
        <f t="shared" si="1"/>
        <v>21</v>
      </c>
      <c r="R11" s="18">
        <f t="shared" si="2"/>
        <v>0.01921317475</v>
      </c>
    </row>
    <row r="12" ht="14.25" customHeight="1">
      <c r="A12" s="15" t="s">
        <v>23</v>
      </c>
      <c r="B12" s="15" t="s">
        <v>24</v>
      </c>
      <c r="C12" s="37">
        <v>2.0</v>
      </c>
      <c r="D12" s="37">
        <v>0.0</v>
      </c>
      <c r="E12" s="37">
        <v>1.0</v>
      </c>
      <c r="F12" s="37">
        <v>2.0</v>
      </c>
      <c r="G12" s="37">
        <v>3.0</v>
      </c>
      <c r="H12" s="37">
        <v>4.0</v>
      </c>
      <c r="I12" s="37">
        <v>1.0</v>
      </c>
      <c r="J12" s="37">
        <v>3.0</v>
      </c>
      <c r="K12" s="37">
        <v>2.0</v>
      </c>
      <c r="L12" s="37">
        <v>1.0</v>
      </c>
      <c r="M12" s="37">
        <v>3.0</v>
      </c>
      <c r="N12" s="37">
        <v>0.0</v>
      </c>
      <c r="O12" s="37">
        <v>1.0</v>
      </c>
      <c r="P12" s="37">
        <v>0.0</v>
      </c>
      <c r="Q12" s="17">
        <f t="shared" si="1"/>
        <v>23</v>
      </c>
      <c r="R12" s="18">
        <f t="shared" si="2"/>
        <v>0.02104300091</v>
      </c>
    </row>
    <row r="13" ht="14.25" customHeight="1">
      <c r="A13" s="15" t="s">
        <v>23</v>
      </c>
      <c r="B13" s="15" t="s">
        <v>25</v>
      </c>
      <c r="C13" s="36">
        <v>11.0</v>
      </c>
      <c r="D13" s="36">
        <v>11.0</v>
      </c>
      <c r="E13" s="36">
        <v>3.0</v>
      </c>
      <c r="F13" s="36">
        <v>12.0</v>
      </c>
      <c r="G13" s="36">
        <v>12.0</v>
      </c>
      <c r="H13" s="36">
        <v>10.0</v>
      </c>
      <c r="I13" s="36">
        <v>18.0</v>
      </c>
      <c r="J13" s="36">
        <v>9.0</v>
      </c>
      <c r="K13" s="36">
        <v>7.0</v>
      </c>
      <c r="L13" s="36">
        <v>13.0</v>
      </c>
      <c r="M13" s="36">
        <v>10.0</v>
      </c>
      <c r="N13" s="36">
        <v>18.0</v>
      </c>
      <c r="O13" s="36">
        <v>11.0</v>
      </c>
      <c r="P13" s="36">
        <v>5.0</v>
      </c>
      <c r="Q13" s="17">
        <f t="shared" si="1"/>
        <v>150</v>
      </c>
      <c r="R13" s="18">
        <f t="shared" si="2"/>
        <v>0.1372369625</v>
      </c>
    </row>
    <row r="14" ht="14.25" customHeight="1">
      <c r="A14" s="15" t="s">
        <v>23</v>
      </c>
      <c r="B14" s="15" t="s">
        <v>22</v>
      </c>
      <c r="C14" s="37">
        <v>10.0</v>
      </c>
      <c r="D14" s="37">
        <v>5.0</v>
      </c>
      <c r="E14" s="37">
        <v>12.0</v>
      </c>
      <c r="F14" s="37">
        <v>11.0</v>
      </c>
      <c r="G14" s="37">
        <v>14.0</v>
      </c>
      <c r="H14" s="37">
        <v>31.0</v>
      </c>
      <c r="I14" s="37">
        <v>31.0</v>
      </c>
      <c r="J14" s="37">
        <v>15.0</v>
      </c>
      <c r="K14" s="37">
        <v>14.0</v>
      </c>
      <c r="L14" s="37">
        <v>19.0</v>
      </c>
      <c r="M14" s="37">
        <v>15.0</v>
      </c>
      <c r="N14" s="37">
        <v>37.0</v>
      </c>
      <c r="O14" s="37">
        <v>28.0</v>
      </c>
      <c r="P14" s="37">
        <v>21.0</v>
      </c>
      <c r="Q14" s="17">
        <f t="shared" si="1"/>
        <v>263</v>
      </c>
      <c r="R14" s="18">
        <f t="shared" si="2"/>
        <v>0.2406221409</v>
      </c>
    </row>
    <row r="15" ht="14.25" customHeight="1">
      <c r="A15" s="11" t="s">
        <v>45</v>
      </c>
      <c r="B15" s="19" t="s">
        <v>20</v>
      </c>
      <c r="C15" s="17">
        <f t="shared" ref="C15:Q15" si="3">SUM(C$3:C$14)</f>
        <v>57</v>
      </c>
      <c r="D15" s="17">
        <f t="shared" si="3"/>
        <v>64</v>
      </c>
      <c r="E15" s="17">
        <f t="shared" si="3"/>
        <v>74</v>
      </c>
      <c r="F15" s="17">
        <f t="shared" si="3"/>
        <v>71</v>
      </c>
      <c r="G15" s="17">
        <f t="shared" si="3"/>
        <v>82</v>
      </c>
      <c r="H15" s="17">
        <f t="shared" si="3"/>
        <v>92</v>
      </c>
      <c r="I15" s="17">
        <f t="shared" si="3"/>
        <v>96</v>
      </c>
      <c r="J15" s="17">
        <f t="shared" si="3"/>
        <v>55</v>
      </c>
      <c r="K15" s="17">
        <f t="shared" si="3"/>
        <v>80</v>
      </c>
      <c r="L15" s="17">
        <f t="shared" si="3"/>
        <v>71</v>
      </c>
      <c r="M15" s="17">
        <f t="shared" si="3"/>
        <v>82</v>
      </c>
      <c r="N15" s="17">
        <f t="shared" si="3"/>
        <v>106</v>
      </c>
      <c r="O15" s="17">
        <f t="shared" si="3"/>
        <v>97</v>
      </c>
      <c r="P15" s="17">
        <f t="shared" si="3"/>
        <v>66</v>
      </c>
      <c r="Q15" s="17">
        <f t="shared" si="3"/>
        <v>1093</v>
      </c>
      <c r="R15" s="18"/>
    </row>
    <row r="16" ht="13.5" customHeight="1">
      <c r="A16" s="20">
        <f>Original!Q15/SUM(I15:J15,M15:O15)</f>
        <v>1.415137615</v>
      </c>
      <c r="B16" s="20" t="s">
        <v>26</v>
      </c>
      <c r="C16" s="21">
        <f t="shared" ref="C16:P16" si="4">C15/$Q$15</f>
        <v>0.05215004575</v>
      </c>
      <c r="D16" s="21">
        <f t="shared" si="4"/>
        <v>0.05855443733</v>
      </c>
      <c r="E16" s="21">
        <f t="shared" si="4"/>
        <v>0.06770356816</v>
      </c>
      <c r="F16" s="21">
        <f t="shared" si="4"/>
        <v>0.06495882891</v>
      </c>
      <c r="G16" s="21">
        <f t="shared" si="4"/>
        <v>0.07502287283</v>
      </c>
      <c r="H16" s="21">
        <f t="shared" si="4"/>
        <v>0.08417200366</v>
      </c>
      <c r="I16" s="21">
        <f t="shared" si="4"/>
        <v>0.08783165599</v>
      </c>
      <c r="J16" s="21">
        <f t="shared" si="4"/>
        <v>0.05032021958</v>
      </c>
      <c r="K16" s="21">
        <f t="shared" si="4"/>
        <v>0.07319304666</v>
      </c>
      <c r="L16" s="21">
        <f t="shared" si="4"/>
        <v>0.06495882891</v>
      </c>
      <c r="M16" s="21">
        <f t="shared" si="4"/>
        <v>0.07502287283</v>
      </c>
      <c r="N16" s="21">
        <f t="shared" si="4"/>
        <v>0.09698078683</v>
      </c>
      <c r="O16" s="21">
        <f t="shared" si="4"/>
        <v>0.08874656908</v>
      </c>
      <c r="P16" s="21">
        <f t="shared" si="4"/>
        <v>0.06038426349</v>
      </c>
      <c r="Q16" s="21">
        <f>SUM(C16:P16)</f>
        <v>1</v>
      </c>
      <c r="R16" s="18"/>
    </row>
    <row r="17" ht="13.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4"/>
    </row>
    <row r="18" ht="12.0" customHeight="1">
      <c r="A18" s="10" t="s">
        <v>27</v>
      </c>
    </row>
    <row r="19" ht="12.0" customHeight="1">
      <c r="A19" s="25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6"/>
      <c r="B20" s="15" t="s">
        <v>9</v>
      </c>
      <c r="C20" s="38">
        <v>4.0</v>
      </c>
      <c r="D20" s="38">
        <v>9.0</v>
      </c>
      <c r="E20" s="38">
        <v>9.0</v>
      </c>
      <c r="F20" s="38">
        <v>1.0</v>
      </c>
      <c r="G20" s="38">
        <v>4.0</v>
      </c>
      <c r="H20" s="38">
        <v>6.0</v>
      </c>
      <c r="I20" s="38">
        <v>2.0</v>
      </c>
      <c r="J20" s="38">
        <v>3.0</v>
      </c>
      <c r="K20" s="38">
        <v>7.0</v>
      </c>
      <c r="L20" s="38">
        <v>1.0</v>
      </c>
      <c r="M20" s="38">
        <v>6.0</v>
      </c>
      <c r="N20" s="38">
        <v>7.0</v>
      </c>
      <c r="O20" s="38">
        <v>7.0</v>
      </c>
      <c r="P20" s="38">
        <v>6.0</v>
      </c>
      <c r="Q20" s="13">
        <f t="shared" ref="Q20:Q32" si="5">SUM(C20:P20)</f>
        <v>72</v>
      </c>
      <c r="R20" s="14">
        <f t="shared" ref="R20:R26" si="6">Q20/$Q$15</f>
        <v>0.06587374199</v>
      </c>
    </row>
    <row r="21" ht="14.25" customHeight="1">
      <c r="A21" s="26"/>
      <c r="B21" s="15" t="s">
        <v>10</v>
      </c>
      <c r="C21" s="39">
        <v>0.0</v>
      </c>
      <c r="D21" s="39">
        <v>0.0</v>
      </c>
      <c r="E21" s="39">
        <v>0.0</v>
      </c>
      <c r="F21" s="39">
        <v>0.0</v>
      </c>
      <c r="G21" s="39">
        <v>1.0</v>
      </c>
      <c r="H21" s="39">
        <v>4.0</v>
      </c>
      <c r="I21" s="39">
        <v>4.0</v>
      </c>
      <c r="J21" s="39">
        <v>4.0</v>
      </c>
      <c r="K21" s="39">
        <v>3.0</v>
      </c>
      <c r="L21" s="39">
        <v>0.0</v>
      </c>
      <c r="M21" s="39">
        <v>0.0</v>
      </c>
      <c r="N21" s="39">
        <v>1.0</v>
      </c>
      <c r="O21" s="39">
        <v>5.0</v>
      </c>
      <c r="P21" s="39">
        <v>3.0</v>
      </c>
      <c r="Q21" s="13">
        <f t="shared" si="5"/>
        <v>25</v>
      </c>
      <c r="R21" s="14">
        <f t="shared" si="6"/>
        <v>0.02287282708</v>
      </c>
    </row>
    <row r="22" ht="14.25" customHeight="1">
      <c r="A22" s="26"/>
      <c r="B22" s="15" t="s">
        <v>11</v>
      </c>
      <c r="C22" s="38">
        <v>2.0</v>
      </c>
      <c r="D22" s="38">
        <v>0.0</v>
      </c>
      <c r="E22" s="38">
        <v>5.0</v>
      </c>
      <c r="F22" s="38">
        <v>2.0</v>
      </c>
      <c r="G22" s="38">
        <v>4.0</v>
      </c>
      <c r="H22" s="38">
        <v>6.0</v>
      </c>
      <c r="I22" s="38">
        <v>7.0</v>
      </c>
      <c r="J22" s="38">
        <v>5.0</v>
      </c>
      <c r="K22" s="38">
        <v>4.0</v>
      </c>
      <c r="L22" s="38">
        <v>2.0</v>
      </c>
      <c r="M22" s="38">
        <v>4.0</v>
      </c>
      <c r="N22" s="38">
        <v>11.0</v>
      </c>
      <c r="O22" s="38">
        <v>15.0</v>
      </c>
      <c r="P22" s="38">
        <v>3.0</v>
      </c>
      <c r="Q22" s="13">
        <f t="shared" si="5"/>
        <v>70</v>
      </c>
      <c r="R22" s="14">
        <f t="shared" si="6"/>
        <v>0.06404391583</v>
      </c>
    </row>
    <row r="23" ht="14.25" customHeight="1">
      <c r="A23" s="26"/>
      <c r="B23" s="15" t="s">
        <v>30</v>
      </c>
      <c r="C23" s="39">
        <v>3.0</v>
      </c>
      <c r="D23" s="39">
        <v>0.0</v>
      </c>
      <c r="E23" s="39">
        <v>0.0</v>
      </c>
      <c r="F23" s="39">
        <v>0.0</v>
      </c>
      <c r="G23" s="39">
        <v>3.0</v>
      </c>
      <c r="H23" s="39">
        <v>2.0</v>
      </c>
      <c r="I23" s="39">
        <v>5.0</v>
      </c>
      <c r="J23" s="39">
        <v>5.0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9">
        <v>1.0</v>
      </c>
      <c r="Q23" s="13">
        <f t="shared" si="5"/>
        <v>19</v>
      </c>
      <c r="R23" s="14">
        <f t="shared" si="6"/>
        <v>0.01738334858</v>
      </c>
    </row>
    <row r="24" ht="14.25" customHeight="1">
      <c r="A24" s="26"/>
      <c r="B24" s="15" t="s">
        <v>31</v>
      </c>
      <c r="C24" s="38">
        <v>0.0</v>
      </c>
      <c r="D24" s="38">
        <v>8.0</v>
      </c>
      <c r="E24" s="38">
        <v>0.0</v>
      </c>
      <c r="F24" s="38">
        <v>1.0</v>
      </c>
      <c r="G24" s="38">
        <v>3.0</v>
      </c>
      <c r="H24" s="38">
        <v>4.0</v>
      </c>
      <c r="I24" s="38">
        <v>0.0</v>
      </c>
      <c r="J24" s="38">
        <v>1.0</v>
      </c>
      <c r="K24" s="38">
        <v>4.0</v>
      </c>
      <c r="L24" s="38">
        <v>3.0</v>
      </c>
      <c r="M24" s="38">
        <v>2.0</v>
      </c>
      <c r="N24" s="38">
        <v>6.0</v>
      </c>
      <c r="O24" s="38">
        <v>5.0</v>
      </c>
      <c r="P24" s="38">
        <v>0.0</v>
      </c>
      <c r="Q24" s="13">
        <f t="shared" si="5"/>
        <v>37</v>
      </c>
      <c r="R24" s="14">
        <f t="shared" si="6"/>
        <v>0.03385178408</v>
      </c>
    </row>
    <row r="25" ht="14.25" customHeight="1">
      <c r="A25" s="26"/>
      <c r="B25" s="15" t="s">
        <v>32</v>
      </c>
      <c r="C25" s="39">
        <v>0.0</v>
      </c>
      <c r="D25" s="39">
        <v>0.0</v>
      </c>
      <c r="E25" s="39">
        <v>1.0</v>
      </c>
      <c r="F25" s="39">
        <v>2.0</v>
      </c>
      <c r="G25" s="39">
        <v>0.0</v>
      </c>
      <c r="H25" s="39">
        <v>1.0</v>
      </c>
      <c r="I25" s="39">
        <v>0.0</v>
      </c>
      <c r="J25" s="39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1.0</v>
      </c>
      <c r="P25" s="39">
        <v>0.0</v>
      </c>
      <c r="Q25" s="13">
        <f t="shared" si="5"/>
        <v>5</v>
      </c>
      <c r="R25" s="14">
        <f t="shared" si="6"/>
        <v>0.004574565416</v>
      </c>
    </row>
    <row r="26" ht="14.25" customHeight="1">
      <c r="A26" s="26"/>
      <c r="B26" s="15" t="s">
        <v>33</v>
      </c>
      <c r="C26" s="38">
        <v>9.0</v>
      </c>
      <c r="D26" s="38">
        <v>13.0</v>
      </c>
      <c r="E26" s="38">
        <v>20.0</v>
      </c>
      <c r="F26" s="38">
        <v>20.0</v>
      </c>
      <c r="G26" s="38">
        <v>25.0</v>
      </c>
      <c r="H26" s="38">
        <v>25.0</v>
      </c>
      <c r="I26" s="38">
        <v>29.0</v>
      </c>
      <c r="J26" s="38">
        <v>7.0</v>
      </c>
      <c r="K26" s="38">
        <v>19.0</v>
      </c>
      <c r="L26" s="38">
        <v>17.0</v>
      </c>
      <c r="M26" s="38">
        <v>18.0</v>
      </c>
      <c r="N26" s="38">
        <v>16.0</v>
      </c>
      <c r="O26" s="38">
        <v>7.0</v>
      </c>
      <c r="P26" s="38">
        <v>6.0</v>
      </c>
      <c r="Q26" s="13">
        <f t="shared" si="5"/>
        <v>231</v>
      </c>
      <c r="R26" s="14">
        <f t="shared" si="6"/>
        <v>0.2113449222</v>
      </c>
    </row>
    <row r="27" ht="14.25" customHeight="1">
      <c r="A27" s="26"/>
      <c r="B27" s="34" t="s">
        <v>34</v>
      </c>
      <c r="C27" s="39">
        <v>0.0</v>
      </c>
      <c r="D27" s="39">
        <v>0.0</v>
      </c>
      <c r="E27" s="39">
        <v>0.0</v>
      </c>
      <c r="F27" s="39">
        <v>3.0</v>
      </c>
      <c r="G27" s="39">
        <v>0.0</v>
      </c>
      <c r="H27" s="39">
        <v>0.0</v>
      </c>
      <c r="I27" s="39">
        <v>4.0</v>
      </c>
      <c r="J27" s="39">
        <v>0.0</v>
      </c>
      <c r="K27" s="39">
        <v>4.0</v>
      </c>
      <c r="L27" s="39">
        <v>2.0</v>
      </c>
      <c r="M27" s="39">
        <v>1.0</v>
      </c>
      <c r="N27" s="39">
        <v>5.0</v>
      </c>
      <c r="O27" s="39">
        <v>7.0</v>
      </c>
      <c r="P27" s="39">
        <v>1.0</v>
      </c>
      <c r="Q27" s="13">
        <f t="shared" si="5"/>
        <v>27</v>
      </c>
      <c r="R27" s="14"/>
    </row>
    <row r="28" ht="14.25" customHeight="1">
      <c r="A28" s="26"/>
      <c r="B28" s="15" t="s">
        <v>14</v>
      </c>
      <c r="C28" s="38">
        <v>5.0</v>
      </c>
      <c r="D28" s="38">
        <v>7.0</v>
      </c>
      <c r="E28" s="38">
        <v>9.0</v>
      </c>
      <c r="F28" s="38">
        <v>11.0</v>
      </c>
      <c r="G28" s="38">
        <v>10.0</v>
      </c>
      <c r="H28" s="38">
        <v>5.0</v>
      </c>
      <c r="I28" s="38">
        <v>3.0</v>
      </c>
      <c r="J28" s="38">
        <v>0.0</v>
      </c>
      <c r="K28" s="38">
        <v>12.0</v>
      </c>
      <c r="L28" s="38">
        <v>0.0</v>
      </c>
      <c r="M28" s="38">
        <v>10.0</v>
      </c>
      <c r="N28" s="38">
        <v>6.0</v>
      </c>
      <c r="O28" s="38">
        <v>4.0</v>
      </c>
      <c r="P28" s="38">
        <v>2.0</v>
      </c>
      <c r="Q28" s="13">
        <f t="shared" si="5"/>
        <v>84</v>
      </c>
      <c r="R28" s="14">
        <f>Q28/$Q$15</f>
        <v>0.07685269899</v>
      </c>
    </row>
    <row r="29" ht="14.25" customHeight="1">
      <c r="A29" s="26"/>
      <c r="B29" s="15" t="s">
        <v>35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13">
        <f t="shared" si="5"/>
        <v>0</v>
      </c>
      <c r="R29" s="14"/>
    </row>
    <row r="30" ht="14.25" customHeight="1">
      <c r="A30" s="26"/>
      <c r="B30" s="15" t="s">
        <v>36</v>
      </c>
      <c r="C30" s="39">
        <v>21.0</v>
      </c>
      <c r="D30" s="39">
        <v>12.0</v>
      </c>
      <c r="E30" s="39">
        <v>13.0</v>
      </c>
      <c r="F30" s="39">
        <v>11.0</v>
      </c>
      <c r="G30" s="39">
        <v>22.0</v>
      </c>
      <c r="H30" s="39">
        <v>31.0</v>
      </c>
      <c r="I30" s="39">
        <v>14.0</v>
      </c>
      <c r="J30" s="39">
        <v>3.0</v>
      </c>
      <c r="K30" s="39">
        <v>16.0</v>
      </c>
      <c r="L30" s="39">
        <v>13.0</v>
      </c>
      <c r="M30" s="39">
        <v>21.0</v>
      </c>
      <c r="N30" s="39">
        <v>17.0</v>
      </c>
      <c r="O30" s="39">
        <v>7.0</v>
      </c>
      <c r="P30" s="39">
        <v>1.0</v>
      </c>
      <c r="Q30" s="13">
        <f t="shared" si="5"/>
        <v>202</v>
      </c>
      <c r="R30" s="14">
        <f t="shared" ref="R30:R32" si="7">Q30/$Q$15</f>
        <v>0.1848124428</v>
      </c>
    </row>
    <row r="31" ht="14.25" customHeight="1">
      <c r="A31" s="26"/>
      <c r="B31" s="15" t="s">
        <v>37</v>
      </c>
      <c r="C31" s="38">
        <v>0.0</v>
      </c>
      <c r="D31" s="38">
        <v>0.0</v>
      </c>
      <c r="E31" s="38">
        <v>11.0</v>
      </c>
      <c r="F31" s="38">
        <v>14.0</v>
      </c>
      <c r="G31" s="38">
        <v>5.0</v>
      </c>
      <c r="H31" s="38">
        <v>5.0</v>
      </c>
      <c r="I31" s="38">
        <v>18.0</v>
      </c>
      <c r="J31" s="38">
        <v>9.0</v>
      </c>
      <c r="K31" s="38">
        <v>19.0</v>
      </c>
      <c r="L31" s="38">
        <v>16.0</v>
      </c>
      <c r="M31" s="38">
        <v>1.0</v>
      </c>
      <c r="N31" s="38">
        <v>18.0</v>
      </c>
      <c r="O31" s="38">
        <v>25.0</v>
      </c>
      <c r="P31" s="38">
        <v>23.0</v>
      </c>
      <c r="Q31" s="13">
        <f t="shared" si="5"/>
        <v>164</v>
      </c>
      <c r="R31" s="14">
        <f t="shared" si="7"/>
        <v>0.1500457457</v>
      </c>
    </row>
    <row r="32" ht="14.25" customHeight="1">
      <c r="A32" s="26"/>
      <c r="B32" s="15" t="s">
        <v>16</v>
      </c>
      <c r="C32" s="39">
        <v>3.0</v>
      </c>
      <c r="D32" s="39">
        <v>5.0</v>
      </c>
      <c r="E32" s="39">
        <v>3.0</v>
      </c>
      <c r="F32" s="39">
        <v>6.0</v>
      </c>
      <c r="G32" s="39">
        <v>10.0</v>
      </c>
      <c r="H32" s="39">
        <v>12.0</v>
      </c>
      <c r="I32" s="39">
        <v>3.0</v>
      </c>
      <c r="J32" s="39">
        <v>1.0</v>
      </c>
      <c r="K32" s="39">
        <v>2.0</v>
      </c>
      <c r="L32" s="39">
        <v>3.0</v>
      </c>
      <c r="M32" s="39">
        <v>0.0</v>
      </c>
      <c r="N32" s="39">
        <v>2.0</v>
      </c>
      <c r="O32" s="39">
        <v>1.0</v>
      </c>
      <c r="P32" s="39">
        <v>4.0</v>
      </c>
      <c r="Q32" s="13">
        <f t="shared" si="5"/>
        <v>55</v>
      </c>
      <c r="R32" s="14">
        <f t="shared" si="7"/>
        <v>0.05032021958</v>
      </c>
    </row>
    <row r="33" ht="14.25" customHeight="1">
      <c r="A33" s="31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3"/>
    </row>
    <row r="34" ht="14.25" customHeight="1">
      <c r="A34" s="10" t="s">
        <v>29</v>
      </c>
    </row>
    <row r="35" ht="14.25" customHeight="1">
      <c r="A35" s="25"/>
      <c r="B35" s="11" t="s">
        <v>28</v>
      </c>
      <c r="C35" s="12">
        <v>6.0</v>
      </c>
      <c r="D35" s="12">
        <v>7.0</v>
      </c>
      <c r="E35" s="12">
        <v>8.0</v>
      </c>
      <c r="F35" s="12">
        <v>9.0</v>
      </c>
      <c r="G35" s="12">
        <v>10.0</v>
      </c>
      <c r="H35" s="12">
        <v>11.0</v>
      </c>
      <c r="I35" s="12">
        <v>12.0</v>
      </c>
      <c r="J35" s="12">
        <v>13.0</v>
      </c>
      <c r="K35" s="12">
        <v>14.0</v>
      </c>
      <c r="L35" s="12">
        <v>15.0</v>
      </c>
      <c r="M35" s="12">
        <v>16.0</v>
      </c>
      <c r="N35" s="12">
        <v>17.0</v>
      </c>
      <c r="O35" s="12">
        <v>18.0</v>
      </c>
      <c r="P35" s="12">
        <v>19.0</v>
      </c>
      <c r="Q35" s="13" t="s">
        <v>20</v>
      </c>
      <c r="R35" s="14" t="s">
        <v>21</v>
      </c>
    </row>
    <row r="36" ht="14.25" customHeight="1">
      <c r="A36" s="26"/>
      <c r="B36" s="34" t="s">
        <v>38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8">
        <v>5.0</v>
      </c>
      <c r="I36" s="38">
        <v>2.0</v>
      </c>
      <c r="J36" s="38">
        <v>2.0</v>
      </c>
      <c r="K36" s="38">
        <v>4.0</v>
      </c>
      <c r="L36" s="38">
        <v>1.0</v>
      </c>
      <c r="M36" s="38">
        <v>3.0</v>
      </c>
      <c r="N36" s="38">
        <v>5.0</v>
      </c>
      <c r="O36" s="38">
        <v>7.0</v>
      </c>
      <c r="P36" s="38">
        <v>7.0</v>
      </c>
      <c r="Q36" s="13">
        <f t="shared" ref="Q36:Q40" si="8">SUM(C36:P36)</f>
        <v>36</v>
      </c>
      <c r="R36" s="14">
        <f t="shared" ref="R36:R40" si="9">Q36/$Q$15</f>
        <v>0.032936871</v>
      </c>
    </row>
    <row r="37" ht="14.25" customHeight="1">
      <c r="A37" s="26"/>
      <c r="B37" s="35" t="s">
        <v>39</v>
      </c>
      <c r="C37" s="39">
        <v>0.0</v>
      </c>
      <c r="D37" s="39">
        <v>0.0</v>
      </c>
      <c r="E37" s="39">
        <v>0.0</v>
      </c>
      <c r="F37" s="39">
        <v>0.0</v>
      </c>
      <c r="G37" s="39">
        <v>1.0</v>
      </c>
      <c r="H37" s="39">
        <v>0.0</v>
      </c>
      <c r="I37" s="39">
        <v>0.0</v>
      </c>
      <c r="J37" s="39">
        <v>1.0</v>
      </c>
      <c r="K37" s="39">
        <v>0.0</v>
      </c>
      <c r="L37" s="39">
        <v>2.0</v>
      </c>
      <c r="M37" s="39">
        <v>0.0</v>
      </c>
      <c r="N37" s="39">
        <v>0.0</v>
      </c>
      <c r="O37" s="39">
        <v>0.0</v>
      </c>
      <c r="P37" s="39">
        <v>0.0</v>
      </c>
      <c r="Q37" s="13">
        <f t="shared" si="8"/>
        <v>4</v>
      </c>
      <c r="R37" s="14">
        <f t="shared" si="9"/>
        <v>0.003659652333</v>
      </c>
    </row>
    <row r="38" ht="14.25" customHeight="1">
      <c r="A38" s="26"/>
      <c r="B38" s="35" t="s">
        <v>40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8">
        <v>0.0</v>
      </c>
      <c r="I38" s="38">
        <v>0.0</v>
      </c>
      <c r="J38" s="38">
        <v>1.0</v>
      </c>
      <c r="K38" s="38">
        <v>0.0</v>
      </c>
      <c r="L38" s="38">
        <v>0.0</v>
      </c>
      <c r="M38" s="38">
        <v>1.0</v>
      </c>
      <c r="N38" s="38">
        <v>0.0</v>
      </c>
      <c r="O38" s="38">
        <v>0.0</v>
      </c>
      <c r="P38" s="38">
        <v>0.0</v>
      </c>
      <c r="Q38" s="13">
        <f t="shared" si="8"/>
        <v>2</v>
      </c>
      <c r="R38" s="14">
        <f t="shared" si="9"/>
        <v>0.001829826167</v>
      </c>
    </row>
    <row r="39" ht="14.25" customHeight="1">
      <c r="A39" s="26"/>
      <c r="B39" s="35" t="s">
        <v>41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2.0</v>
      </c>
      <c r="J39" s="39">
        <v>0.0</v>
      </c>
      <c r="K39" s="39">
        <v>0.0</v>
      </c>
      <c r="L39" s="39">
        <v>0.0</v>
      </c>
      <c r="M39" s="39">
        <v>1.0</v>
      </c>
      <c r="N39" s="39">
        <v>0.0</v>
      </c>
      <c r="O39" s="39">
        <v>0.0</v>
      </c>
      <c r="P39" s="39">
        <v>0.0</v>
      </c>
      <c r="Q39" s="13">
        <f t="shared" si="8"/>
        <v>3</v>
      </c>
      <c r="R39" s="14">
        <f t="shared" si="9"/>
        <v>0.00274473925</v>
      </c>
    </row>
    <row r="40" ht="14.25" customHeight="1">
      <c r="A40" s="26"/>
      <c r="B40" s="34" t="s">
        <v>42</v>
      </c>
      <c r="C40" s="15"/>
      <c r="D40" s="15"/>
      <c r="E40" s="15"/>
      <c r="F40" s="15"/>
      <c r="G40" s="15"/>
      <c r="H40" s="15"/>
      <c r="I40" s="15">
        <v>0.0</v>
      </c>
      <c r="J40" s="15">
        <v>0.0</v>
      </c>
      <c r="K40" s="15"/>
      <c r="L40" s="15"/>
      <c r="M40" s="15">
        <v>0.0</v>
      </c>
      <c r="N40" s="15">
        <v>0.0</v>
      </c>
      <c r="O40" s="15">
        <v>0.0</v>
      </c>
      <c r="P40" s="15"/>
      <c r="Q40" s="13">
        <f t="shared" si="8"/>
        <v>0</v>
      </c>
      <c r="R40" s="14">
        <f t="shared" si="9"/>
        <v>0</v>
      </c>
    </row>
    <row r="41" ht="14.25" customHeight="1">
      <c r="A41" s="26"/>
      <c r="B41" s="34" t="s">
        <v>43</v>
      </c>
      <c r="C41" s="15"/>
      <c r="D41" s="15"/>
      <c r="E41" s="15"/>
      <c r="F41" s="15"/>
      <c r="G41" s="15"/>
      <c r="H41" s="15"/>
      <c r="I41" s="15">
        <v>0.0</v>
      </c>
      <c r="J41" s="15">
        <v>0.0</v>
      </c>
      <c r="K41" s="15"/>
      <c r="L41" s="15"/>
      <c r="M41" s="15">
        <v>0.0</v>
      </c>
      <c r="N41" s="15">
        <v>0.0</v>
      </c>
      <c r="O41" s="15">
        <v>0.0</v>
      </c>
      <c r="P41" s="15"/>
      <c r="Q41" s="13"/>
      <c r="R41" s="14"/>
    </row>
    <row r="42" ht="14.25" customHeight="1">
      <c r="A42" s="26"/>
      <c r="B42" s="34" t="s">
        <v>44</v>
      </c>
      <c r="C42" s="15"/>
      <c r="D42" s="15"/>
      <c r="E42" s="15"/>
      <c r="F42" s="15"/>
      <c r="G42" s="15"/>
      <c r="H42" s="15"/>
      <c r="I42" s="15">
        <v>2.0</v>
      </c>
      <c r="J42" s="15">
        <v>3.0</v>
      </c>
      <c r="K42" s="15"/>
      <c r="L42" s="15"/>
      <c r="M42" s="15">
        <v>3.0</v>
      </c>
      <c r="N42" s="15">
        <v>1.0</v>
      </c>
      <c r="O42" s="15">
        <v>0.0</v>
      </c>
      <c r="P42" s="15"/>
      <c r="Q42" s="13"/>
      <c r="R42" s="14"/>
    </row>
  </sheetData>
  <mergeCells count="3">
    <mergeCell ref="A1:R1"/>
    <mergeCell ref="A18:R18"/>
    <mergeCell ref="A34:R34"/>
  </mergeCell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0" t="str">
        <f>Fluxo!A2</f>
        <v>TOTAL</v>
      </c>
      <c r="F1" s="40">
        <v>2.0</v>
      </c>
      <c r="G1" t="str">
        <f t="array" ref="G1:G18">TRANSPOSE(Dados!2:2)</f>
        <v>ORIGEM</v>
      </c>
    </row>
    <row r="2">
      <c r="F2" s="40">
        <v>3.0</v>
      </c>
      <c r="G2" t="s">
        <v>19</v>
      </c>
    </row>
    <row r="3">
      <c r="A3" t="str">
        <f>Dados!A3</f>
        <v>Santo Amaro</v>
      </c>
      <c r="B3" t="str">
        <f>Dados!B3</f>
        <v>Espinheiro</v>
      </c>
      <c r="F3" s="40">
        <v>4.0</v>
      </c>
      <c r="G3">
        <v>6.0</v>
      </c>
      <c r="Q3">
        <f>HLOOKUP($A$1,Dados!$C$2:$R$14,F1,0)</f>
        <v>150</v>
      </c>
    </row>
    <row r="4">
      <c r="A4" t="str">
        <f>Dados!A4</f>
        <v>Santo Amaro</v>
      </c>
      <c r="B4" t="str">
        <f>Dados!B4</f>
        <v>Boa Vista</v>
      </c>
      <c r="F4" s="40">
        <v>5.0</v>
      </c>
      <c r="G4">
        <v>7.0</v>
      </c>
      <c r="Q4">
        <f>HLOOKUP($A$1,Dados!$C$2:$R$14,F2,0)</f>
        <v>19</v>
      </c>
    </row>
    <row r="5">
      <c r="A5" t="str">
        <f>Dados!A5</f>
        <v>Santo Amaro</v>
      </c>
      <c r="B5" t="str">
        <f>Dados!B5</f>
        <v>Bairro do Recife</v>
      </c>
      <c r="F5" s="40">
        <v>6.0</v>
      </c>
      <c r="G5">
        <v>8.0</v>
      </c>
      <c r="Q5">
        <f>HLOOKUP($A$1,Dados!$C$2:$R$14,F3,0)</f>
        <v>16</v>
      </c>
    </row>
    <row r="6">
      <c r="A6" t="str">
        <f>Dados!A6</f>
        <v>Bairro do Recife</v>
      </c>
      <c r="B6" t="str">
        <f>Dados!B6</f>
        <v>Santo Amaro</v>
      </c>
      <c r="F6" s="40">
        <v>7.0</v>
      </c>
      <c r="G6">
        <v>9.0</v>
      </c>
      <c r="Q6">
        <f>HLOOKUP($A$1,Dados!$C$2:$R$14,F4,0)</f>
        <v>62</v>
      </c>
    </row>
    <row r="7">
      <c r="A7" t="str">
        <f>Dados!A7</f>
        <v>Bairro do Recife</v>
      </c>
      <c r="B7" t="str">
        <f>Dados!B7</f>
        <v>Espinheiro</v>
      </c>
      <c r="F7" s="40">
        <v>8.0</v>
      </c>
      <c r="G7">
        <v>10.0</v>
      </c>
      <c r="Q7">
        <f>HLOOKUP($A$1,Dados!$C$2:$R$14,F5,0)</f>
        <v>332</v>
      </c>
    </row>
    <row r="8">
      <c r="A8" t="str">
        <f>Dados!A8</f>
        <v>Bairro do Recife</v>
      </c>
      <c r="B8" t="str">
        <f>Dados!B8</f>
        <v>Boa Vista</v>
      </c>
      <c r="F8" s="40">
        <v>9.0</v>
      </c>
      <c r="G8">
        <v>11.0</v>
      </c>
      <c r="Q8">
        <f>HLOOKUP($A$1,Dados!$C$2:$R$14,F6,0)</f>
        <v>18</v>
      </c>
    </row>
    <row r="9">
      <c r="A9" t="str">
        <f>Dados!A9</f>
        <v>Boa Vista</v>
      </c>
      <c r="B9" t="str">
        <f>Dados!B9</f>
        <v>Bairro do Recife</v>
      </c>
      <c r="F9" s="40">
        <v>10.0</v>
      </c>
      <c r="G9">
        <v>12.0</v>
      </c>
      <c r="Q9">
        <f>HLOOKUP($A$1,Dados!$C$2:$R$14,F7,0)</f>
        <v>43</v>
      </c>
    </row>
    <row r="10">
      <c r="A10" t="str">
        <f>Dados!A10</f>
        <v>Boa Vista</v>
      </c>
      <c r="B10" t="str">
        <f>Dados!B10</f>
        <v>Santo Amaro</v>
      </c>
      <c r="F10" s="40">
        <v>11.0</v>
      </c>
      <c r="G10">
        <v>13.0</v>
      </c>
      <c r="Q10">
        <f>HLOOKUP($A$1,Dados!$C$2:$R$14,F8,0)</f>
        <v>249</v>
      </c>
    </row>
    <row r="11">
      <c r="A11" t="str">
        <f>Dados!A11</f>
        <v>Boa Vista</v>
      </c>
      <c r="B11" t="str">
        <f>Dados!B11</f>
        <v>Espinheiro</v>
      </c>
      <c r="F11" s="40">
        <v>12.0</v>
      </c>
      <c r="G11">
        <v>14.0</v>
      </c>
      <c r="Q11">
        <f>HLOOKUP($A$1,Dados!$C$2:$R$14,F9,0)</f>
        <v>27</v>
      </c>
    </row>
    <row r="12">
      <c r="A12" t="str">
        <f>Dados!A12</f>
        <v>Espinheiro</v>
      </c>
      <c r="B12" t="str">
        <f>Dados!B12</f>
        <v>Boa Vista</v>
      </c>
      <c r="F12" s="40">
        <v>13.0</v>
      </c>
      <c r="G12">
        <v>15.0</v>
      </c>
      <c r="Q12">
        <f>HLOOKUP($A$1,Dados!$C$2:$R$14,F10,0)</f>
        <v>31</v>
      </c>
    </row>
    <row r="13">
      <c r="A13" t="str">
        <f>Dados!A13</f>
        <v>Espinheiro</v>
      </c>
      <c r="B13" t="str">
        <f>Dados!B13</f>
        <v>Bairro do Recife</v>
      </c>
      <c r="G13">
        <v>16.0</v>
      </c>
      <c r="Q13">
        <f>HLOOKUP($A$1,Dados!$C$2:$R$14,F11,0)</f>
        <v>212</v>
      </c>
    </row>
    <row r="14">
      <c r="A14" t="str">
        <f>Dados!A14</f>
        <v>Espinheiro</v>
      </c>
      <c r="B14" t="str">
        <f>Dados!B14</f>
        <v>Santo Amaro</v>
      </c>
      <c r="G14">
        <v>17.0</v>
      </c>
      <c r="Q14">
        <f>HLOOKUP($A$1,Dados!$C$2:$R$14,F12,0)</f>
        <v>373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41" t="s">
        <v>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2" t="s">
        <v>46</v>
      </c>
    </row>
    <row r="2">
      <c r="A2" s="43" t="s">
        <v>47</v>
      </c>
      <c r="B2" s="44">
        <f>Dados!C2</f>
        <v>6</v>
      </c>
      <c r="C2" s="44">
        <f>Dados!D2</f>
        <v>7</v>
      </c>
      <c r="D2" s="44">
        <f>Dados!E2</f>
        <v>8</v>
      </c>
      <c r="E2" s="44">
        <f>Dados!F2</f>
        <v>9</v>
      </c>
      <c r="F2" s="44">
        <f>Dados!G2</f>
        <v>10</v>
      </c>
      <c r="G2" s="44">
        <f>Dados!H2</f>
        <v>11</v>
      </c>
      <c r="H2" s="44">
        <f>Dados!I2</f>
        <v>12</v>
      </c>
      <c r="I2" s="44">
        <f>Dados!J2</f>
        <v>13</v>
      </c>
      <c r="J2" s="44">
        <f>Dados!K2</f>
        <v>14</v>
      </c>
      <c r="K2" s="44">
        <f>Dados!L2</f>
        <v>15</v>
      </c>
      <c r="L2" s="44">
        <f>Dados!M2</f>
        <v>16</v>
      </c>
      <c r="M2" s="44">
        <f>Dados!N2</f>
        <v>17</v>
      </c>
      <c r="N2" s="44">
        <f>Dados!O2</f>
        <v>18</v>
      </c>
      <c r="O2" s="44">
        <f>Dados!P2</f>
        <v>19</v>
      </c>
    </row>
    <row r="3">
      <c r="A3" s="45" t="s">
        <v>48</v>
      </c>
      <c r="B3" s="46">
        <f>Dados!C15-B4-B5</f>
        <v>73</v>
      </c>
      <c r="C3" s="46">
        <f>Dados!D15-C4-C5</f>
        <v>76</v>
      </c>
      <c r="D3" s="46">
        <f>Dados!E15-D4-D5</f>
        <v>90</v>
      </c>
      <c r="E3" s="46">
        <f>Dados!F15-E4-E5</f>
        <v>99</v>
      </c>
      <c r="F3" s="46">
        <f>Dados!G15-F4-F5</f>
        <v>109</v>
      </c>
      <c r="G3" s="46">
        <f>Dados!H15-G4-G5</f>
        <v>116</v>
      </c>
      <c r="H3" s="46">
        <f>Dados!I15-H4-H5</f>
        <v>117</v>
      </c>
      <c r="I3" s="46">
        <f>Dados!J15-I4-I5</f>
        <v>67</v>
      </c>
      <c r="J3" s="46">
        <f>Dados!K15-J4-J5</f>
        <v>99</v>
      </c>
      <c r="K3" s="46">
        <f>Dados!L15-K4-K5</f>
        <v>98</v>
      </c>
      <c r="L3" s="46">
        <f>Dados!M15-L4-L5</f>
        <v>101</v>
      </c>
      <c r="M3" s="46">
        <f>Dados!N15-M4-M5</f>
        <v>130</v>
      </c>
      <c r="N3" s="46">
        <f>Dados!O15-N4-N5</f>
        <v>111</v>
      </c>
      <c r="O3" s="46">
        <f>Dados!P15-O4-O5</f>
        <v>81</v>
      </c>
    </row>
    <row r="4">
      <c r="A4" s="43" t="s">
        <v>49</v>
      </c>
      <c r="B4" s="44">
        <f>Dados!C20</f>
        <v>6</v>
      </c>
      <c r="C4" s="44">
        <f>Dados!D20</f>
        <v>13</v>
      </c>
      <c r="D4" s="44">
        <f>Dados!E20</f>
        <v>13</v>
      </c>
      <c r="E4" s="44">
        <f>Dados!F20</f>
        <v>1</v>
      </c>
      <c r="F4" s="44">
        <f>Dados!G20</f>
        <v>6</v>
      </c>
      <c r="G4" s="44">
        <f>Dados!H20</f>
        <v>8</v>
      </c>
      <c r="H4" s="44">
        <f>Dados!I20</f>
        <v>15</v>
      </c>
      <c r="I4" s="44">
        <f>Dados!J20</f>
        <v>8</v>
      </c>
      <c r="J4" s="44">
        <f>Dados!K20</f>
        <v>10</v>
      </c>
      <c r="K4" s="44">
        <f>Dados!L20</f>
        <v>1</v>
      </c>
      <c r="L4" s="44">
        <f>Dados!M20</f>
        <v>13</v>
      </c>
      <c r="M4" s="44">
        <f>Dados!N20</f>
        <v>18</v>
      </c>
      <c r="N4" s="44">
        <f>Dados!O20</f>
        <v>15</v>
      </c>
      <c r="O4" s="44">
        <f>Dados!P20</f>
        <v>8</v>
      </c>
    </row>
    <row r="5">
      <c r="A5" s="45" t="s">
        <v>10</v>
      </c>
      <c r="B5" s="46">
        <f>Dados!C21</f>
        <v>0</v>
      </c>
      <c r="C5" s="46">
        <f>Dados!D21</f>
        <v>0</v>
      </c>
      <c r="D5" s="46">
        <f>Dados!E21</f>
        <v>0</v>
      </c>
      <c r="E5" s="46">
        <f>Dados!F21</f>
        <v>0</v>
      </c>
      <c r="F5" s="46">
        <f>Dados!G21</f>
        <v>1</v>
      </c>
      <c r="G5" s="46">
        <f>Dados!H21</f>
        <v>6</v>
      </c>
      <c r="H5" s="46">
        <f>Dados!I21</f>
        <v>2</v>
      </c>
      <c r="I5" s="46">
        <f>Dados!J21</f>
        <v>1</v>
      </c>
      <c r="J5" s="46">
        <f>Dados!K21</f>
        <v>4</v>
      </c>
      <c r="K5" s="46">
        <f>Dados!L21</f>
        <v>0</v>
      </c>
      <c r="L5" s="46">
        <f>Dados!M21</f>
        <v>0</v>
      </c>
      <c r="M5" s="46">
        <f>Dados!N21</f>
        <v>1</v>
      </c>
      <c r="N5" s="46">
        <f>Dados!O21</f>
        <v>11</v>
      </c>
      <c r="O5" s="46">
        <f>Dados!P21</f>
        <v>4</v>
      </c>
    </row>
    <row r="7">
      <c r="A7" s="47" t="s">
        <v>50</v>
      </c>
    </row>
    <row r="8">
      <c r="A8" s="48" t="s">
        <v>51</v>
      </c>
      <c r="B8" s="44">
        <v>6.0</v>
      </c>
      <c r="C8" s="44">
        <v>7.0</v>
      </c>
      <c r="D8" s="44">
        <v>8.0</v>
      </c>
      <c r="E8" s="44">
        <v>9.0</v>
      </c>
      <c r="F8" s="44">
        <v>10.0</v>
      </c>
      <c r="G8" s="44">
        <v>11.0</v>
      </c>
      <c r="H8" s="44">
        <v>12.0</v>
      </c>
      <c r="I8" s="44">
        <v>13.0</v>
      </c>
      <c r="J8" s="44">
        <v>14.0</v>
      </c>
      <c r="K8" s="44">
        <v>15.0</v>
      </c>
      <c r="L8" s="44">
        <v>16.0</v>
      </c>
      <c r="M8" s="44">
        <v>17.0</v>
      </c>
      <c r="N8" s="44">
        <v>18.0</v>
      </c>
      <c r="O8" s="44">
        <v>19.0</v>
      </c>
    </row>
    <row r="9">
      <c r="A9" s="49" t="s">
        <v>49</v>
      </c>
      <c r="B9" s="50">
        <f>B4/Dados!C$15</f>
        <v>0.07594936709</v>
      </c>
      <c r="C9" s="50">
        <f>C4/Dados!D$15</f>
        <v>0.1460674157</v>
      </c>
      <c r="D9" s="50">
        <f>D4/Dados!E$15</f>
        <v>0.1262135922</v>
      </c>
      <c r="E9" s="50">
        <f>E4/Dados!F$15</f>
        <v>0.01</v>
      </c>
      <c r="F9" s="50">
        <f>F4/Dados!G$15</f>
        <v>0.05172413793</v>
      </c>
      <c r="G9" s="50">
        <f>G4/Dados!H$15</f>
        <v>0.06153846154</v>
      </c>
      <c r="H9" s="50">
        <f>H4/Dados!I$15</f>
        <v>0.1119402985</v>
      </c>
      <c r="I9" s="50">
        <f>I4/Dados!J$15</f>
        <v>0.1052631579</v>
      </c>
      <c r="J9" s="50">
        <f>J4/Dados!K$15</f>
        <v>0.08849557522</v>
      </c>
      <c r="K9" s="50">
        <f>K4/Dados!L$15</f>
        <v>0.0101010101</v>
      </c>
      <c r="L9" s="50">
        <f>L4/Dados!M$15</f>
        <v>0.1140350877</v>
      </c>
      <c r="M9" s="50">
        <f>M4/Dados!N$15</f>
        <v>0.1208053691</v>
      </c>
      <c r="N9" s="50">
        <f>N4/Dados!O$15</f>
        <v>0.1094890511</v>
      </c>
      <c r="O9" s="50">
        <f>O4/Dados!P$15</f>
        <v>0.08602150538</v>
      </c>
    </row>
    <row r="10">
      <c r="A10" s="48" t="s">
        <v>10</v>
      </c>
      <c r="B10" s="51">
        <f>B5/Dados!C$15</f>
        <v>0</v>
      </c>
      <c r="C10" s="51">
        <f>C5/Dados!D$15</f>
        <v>0</v>
      </c>
      <c r="D10" s="51">
        <f>D5/Dados!E$15</f>
        <v>0</v>
      </c>
      <c r="E10" s="51">
        <f>E5/Dados!F$15</f>
        <v>0</v>
      </c>
      <c r="F10" s="51">
        <f>F5/Dados!G$15</f>
        <v>0.008620689655</v>
      </c>
      <c r="G10" s="51">
        <f>G5/Dados!H$15</f>
        <v>0.04615384615</v>
      </c>
      <c r="H10" s="51">
        <f>H5/Dados!I$15</f>
        <v>0.01492537313</v>
      </c>
      <c r="I10" s="51">
        <f>I5/Dados!J$15</f>
        <v>0.01315789474</v>
      </c>
      <c r="J10" s="51">
        <f>J5/Dados!K$15</f>
        <v>0.03539823009</v>
      </c>
      <c r="K10" s="51">
        <f>K5/Dados!L$15</f>
        <v>0</v>
      </c>
      <c r="L10" s="51">
        <f>L5/Dados!M$15</f>
        <v>0</v>
      </c>
      <c r="M10" s="51">
        <f>M5/Dados!N$15</f>
        <v>0.006711409396</v>
      </c>
      <c r="N10" s="51">
        <f>N5/Dados!O$15</f>
        <v>0.0802919708</v>
      </c>
      <c r="O10" s="51">
        <f>O5/Dados!P$15</f>
        <v>0.04301075269</v>
      </c>
    </row>
    <row r="12">
      <c r="A12" s="52" t="str">
        <f>Dados!B19</f>
        <v>Característica</v>
      </c>
      <c r="B12" s="53" t="str">
        <f>Dados!R19</f>
        <v>%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>
      <c r="A13" s="52" t="str">
        <f>Dados!B20</f>
        <v>Mulher</v>
      </c>
      <c r="B13" s="53">
        <f>Dados!R20</f>
        <v>0.08812010444</v>
      </c>
    </row>
    <row r="14">
      <c r="A14" s="52" t="str">
        <f>Dados!B21</f>
        <v>Crianças e adolescentes</v>
      </c>
      <c r="B14" s="53">
        <f>Dados!R21</f>
        <v>0.01958224543</v>
      </c>
    </row>
    <row r="15">
      <c r="A15" s="52" t="str">
        <f>Dados!B22</f>
        <v>Capacete</v>
      </c>
      <c r="B15" s="53">
        <f>Dados!R22</f>
        <v>0.04830287206</v>
      </c>
    </row>
    <row r="16">
      <c r="A16" s="52" t="s">
        <v>12</v>
      </c>
      <c r="B16" s="53">
        <f>SUM(Dados!R31:R33)</f>
        <v>0.05613577023</v>
      </c>
    </row>
    <row r="17">
      <c r="A17" s="52" t="str">
        <f>Dados!B34</f>
        <v>Cargueira</v>
      </c>
      <c r="B17" s="53">
        <f>Dados!R34</f>
        <v>0.1736292428</v>
      </c>
    </row>
    <row r="18">
      <c r="A18" s="52" t="str">
        <f>Dados!B36</f>
        <v>Serviço</v>
      </c>
      <c r="B18" s="53">
        <f>Dados!R36</f>
        <v>0.06592689295</v>
      </c>
    </row>
    <row r="19">
      <c r="A19" s="52" t="str">
        <f>Dados!B38</f>
        <v>Contramao</v>
      </c>
      <c r="B19" s="53">
        <f>Dados!R38</f>
        <v>0.1762402089</v>
      </c>
    </row>
    <row r="20">
      <c r="A20" s="52" t="str">
        <f>Dados!B27</f>
        <v>Calçada</v>
      </c>
      <c r="B20" s="53">
        <f>Dados!R27</f>
        <v>0.05483028721</v>
      </c>
    </row>
    <row r="21">
      <c r="A21" s="54"/>
      <c r="B21" s="54"/>
    </row>
    <row r="22">
      <c r="A22" s="54"/>
      <c r="B22" s="54"/>
    </row>
    <row r="23">
      <c r="A23" s="54"/>
      <c r="B23" s="54"/>
    </row>
    <row r="24">
      <c r="A24" s="54"/>
      <c r="B24" s="54"/>
    </row>
    <row r="25">
      <c r="A25" s="54"/>
      <c r="B25" s="54"/>
    </row>
    <row r="26">
      <c r="A26" s="54"/>
      <c r="B26" s="54"/>
    </row>
    <row r="27">
      <c r="A27" s="54"/>
      <c r="B27" s="54"/>
    </row>
    <row r="28">
      <c r="A28" s="54"/>
      <c r="B28" s="54"/>
    </row>
    <row r="29">
      <c r="A29" s="54"/>
      <c r="B29" s="54"/>
    </row>
  </sheetData>
  <mergeCells count="2">
    <mergeCell ref="A1:O1"/>
    <mergeCell ref="A7:O7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5" t="s">
        <v>52</v>
      </c>
      <c r="B1" s="56"/>
      <c r="C1" s="57"/>
      <c r="D1" s="58"/>
      <c r="E1" s="59" t="str">
        <f>UPPER(CONFFLUXO!A3)</f>
        <v>SANTO AMARO</v>
      </c>
      <c r="F1" s="56"/>
      <c r="G1" s="57"/>
      <c r="H1" s="60"/>
      <c r="I1" s="60"/>
      <c r="J1" s="60"/>
      <c r="K1" s="60"/>
    </row>
    <row r="2" ht="22.5" customHeight="1">
      <c r="A2" s="55" t="s">
        <v>20</v>
      </c>
      <c r="B2" s="56"/>
      <c r="C2" s="57"/>
      <c r="D2" s="58"/>
      <c r="E2" s="61">
        <f>SUM(E3:G3)</f>
        <v>185</v>
      </c>
      <c r="F2" s="56"/>
      <c r="G2" s="57"/>
      <c r="H2" s="60"/>
      <c r="I2" s="60"/>
      <c r="J2" s="60"/>
      <c r="K2" s="60"/>
    </row>
    <row r="3" ht="22.5" customHeight="1">
      <c r="A3" s="62"/>
      <c r="B3" s="62"/>
      <c r="C3" s="62"/>
      <c r="D3" s="63"/>
      <c r="E3" s="64">
        <f>CONFFLUXO!Q3</f>
        <v>150</v>
      </c>
      <c r="F3" s="64">
        <f>CONFFLUXO!Q4</f>
        <v>19</v>
      </c>
      <c r="G3" s="64">
        <f>CONFFLUXO!Q5</f>
        <v>16</v>
      </c>
      <c r="H3" s="60"/>
      <c r="I3" s="60"/>
      <c r="J3" s="60"/>
      <c r="K3" s="60"/>
    </row>
    <row r="4" ht="25.5" customHeight="1">
      <c r="A4" s="65"/>
      <c r="B4" s="65"/>
      <c r="C4" s="62"/>
      <c r="D4" s="62"/>
      <c r="E4" s="60"/>
      <c r="F4" s="60"/>
      <c r="G4" s="60"/>
      <c r="H4" s="66"/>
      <c r="I4" s="66"/>
      <c r="J4" s="67"/>
      <c r="K4" s="67"/>
    </row>
    <row r="5" ht="71.25" customHeight="1">
      <c r="A5" s="68" t="str">
        <f>UPPER(CONFFLUXO!A12)</f>
        <v>ESPINHEIRO</v>
      </c>
      <c r="B5" s="69">
        <f>SUM(C5:C7)</f>
        <v>616</v>
      </c>
      <c r="C5" s="70">
        <f>CONFFLUXO!Q14</f>
        <v>373</v>
      </c>
      <c r="D5" s="62"/>
      <c r="E5" s="60"/>
      <c r="F5" s="60"/>
      <c r="G5" s="60"/>
      <c r="H5" s="66"/>
      <c r="I5" s="71">
        <f>CONFFLUXO!Q6</f>
        <v>62</v>
      </c>
      <c r="J5" s="72">
        <f>SUM(I5:I7)</f>
        <v>412</v>
      </c>
      <c r="K5" s="73" t="str">
        <f>UPPER(CONFFLUXO!A6)</f>
        <v>BAIRRO DO RECIFE</v>
      </c>
    </row>
    <row r="6" ht="71.25" customHeight="1">
      <c r="A6" s="74"/>
      <c r="B6" s="74"/>
      <c r="C6" s="70">
        <f>CONFFLUXO!Q13</f>
        <v>212</v>
      </c>
      <c r="D6" s="62"/>
      <c r="E6" s="60"/>
      <c r="F6" s="75">
        <f>SUM(E3:G3,I5:I7,E9:G9,C5:C7)</f>
        <v>1532</v>
      </c>
      <c r="G6" s="60"/>
      <c r="H6" s="66"/>
      <c r="I6" s="71">
        <f>CONFFLUXO!Q7</f>
        <v>332</v>
      </c>
      <c r="J6" s="74"/>
      <c r="K6" s="74"/>
    </row>
    <row r="7" ht="71.25" customHeight="1">
      <c r="A7" s="76"/>
      <c r="B7" s="76"/>
      <c r="C7" s="70">
        <f>CONFFLUXO!Q12</f>
        <v>31</v>
      </c>
      <c r="D7" s="62"/>
      <c r="E7" s="60"/>
      <c r="F7" s="60"/>
      <c r="G7" s="60"/>
      <c r="H7" s="66"/>
      <c r="I7" s="71">
        <f>CONFFLUXO!Q8</f>
        <v>18</v>
      </c>
      <c r="J7" s="76"/>
      <c r="K7" s="76"/>
    </row>
    <row r="8" ht="27.0" customHeight="1">
      <c r="A8" s="62"/>
      <c r="B8" s="62"/>
      <c r="C8" s="62"/>
      <c r="D8" s="62"/>
      <c r="E8" s="60"/>
      <c r="F8" s="60"/>
      <c r="G8" s="60"/>
      <c r="H8" s="60"/>
      <c r="I8" s="60"/>
      <c r="J8" s="60"/>
      <c r="K8" s="60"/>
    </row>
    <row r="9" ht="22.5" customHeight="1">
      <c r="A9" s="62"/>
      <c r="B9" s="62"/>
      <c r="C9" s="77"/>
      <c r="D9" s="77"/>
      <c r="E9" s="78">
        <f>CONFFLUXO!Q11</f>
        <v>27</v>
      </c>
      <c r="F9" s="78">
        <f>CONFFLUXO!Q10</f>
        <v>249</v>
      </c>
      <c r="G9" s="78">
        <f>CONFFLUXO!Q9</f>
        <v>43</v>
      </c>
      <c r="H9" s="60"/>
      <c r="I9" s="60"/>
      <c r="J9" s="60"/>
      <c r="K9" s="60"/>
    </row>
    <row r="10" ht="22.5" customHeight="1">
      <c r="A10" s="62"/>
      <c r="B10" s="62"/>
      <c r="C10" s="62"/>
      <c r="D10" s="62"/>
      <c r="E10" s="79">
        <f>SUM(E9:G9)</f>
        <v>319</v>
      </c>
      <c r="F10" s="56"/>
      <c r="G10" s="57"/>
      <c r="H10" s="60"/>
      <c r="I10" s="60"/>
      <c r="J10" s="60"/>
      <c r="K10" s="60"/>
    </row>
    <row r="11" ht="22.5" customHeight="1">
      <c r="A11" s="62"/>
      <c r="B11" s="62"/>
      <c r="C11" s="62"/>
      <c r="D11" s="62"/>
      <c r="E11" s="59" t="str">
        <f>UPPER(CONFFLUXO!A9)</f>
        <v>BOA VISTA</v>
      </c>
      <c r="F11" s="56"/>
      <c r="G11" s="57"/>
      <c r="H11" s="60"/>
      <c r="I11" s="60"/>
      <c r="J11" s="60"/>
      <c r="K11" s="80">
        <f>MAX(3:3,I:I,9:9,C:C)</f>
        <v>373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