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Original" sheetId="3" r:id="rId6"/>
    <sheet state="visible" name="Base projeção" sheetId="4" r:id="rId7"/>
    <sheet state="visible" name="Gráficos" sheetId="5" r:id="rId8"/>
    <sheet state="hidden" name="CONFFLUXO" sheetId="6" r:id="rId9"/>
    <sheet state="visible" name="Fluxo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Projeção a partir do horário de pico</t>
      </text>
    </comment>
  </commentList>
</comments>
</file>

<file path=xl/sharedStrings.xml><?xml version="1.0" encoding="utf-8"?>
<sst xmlns="http://schemas.openxmlformats.org/spreadsheetml/2006/main" count="189" uniqueCount="52">
  <si>
    <t>Cruzamento</t>
  </si>
  <si>
    <t>Av. Rui Barbosa x Av. Dr. Malaquias</t>
  </si>
  <si>
    <t>Data</t>
  </si>
  <si>
    <t>Coordenadas Geográficas</t>
  </si>
  <si>
    <t>-8.03989, -34.90401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</si>
  <si>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</si>
  <si>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</si>
  <si>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</si>
  <si>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</si>
  <si>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</si>
  <si>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</si>
  <si>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</si>
  <si>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</si>
  <si>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</si>
  <si>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</si>
  <si>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</si>
  <si>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</si>
  <si>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</si>
  <si>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</si>
  <si>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</si>
  <si>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</si>
  <si>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Jaqueira</t>
  </si>
  <si>
    <t>Graças</t>
  </si>
  <si>
    <t>Rosarinho</t>
  </si>
  <si>
    <t>Torre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</si>
  <si>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</si>
  <si>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</si>
  <si>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</si>
  <si>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</si>
  <si>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</si>
  <si>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</si>
  <si>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</si>
  <si>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</si>
  <si>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</si>
  <si>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</si>
  <si>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</si>
  <si>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</si>
  <si>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</si>
  <si>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</si>
  <si>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</si>
  <si>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</si>
  <si>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</si>
  <si>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</si>
  <si>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</si>
  <si>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AUMENTO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</si>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</sst>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ill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5" fontId="3" numFmtId="0" xfId="0" applyAlignment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5" fontId="3" numFmtId="0" xfId="0" applyAlignment="1" applyFont="1">
      <alignment horizontal="right" shrinkToFit="0" vertical="bottom" wrapText="0"/>
    </xf>
    <xf borderId="0" fillId="4" fontId="3" numFmtId="0" xfId="0" applyAlignment="1" applyFont="1">
      <alignment horizontal="right" shrinkToFit="0" vertical="bottom" wrapText="0"/>
    </xf>
    <xf borderId="0" fillId="4" fontId="6" numFmtId="0" xfId="0" applyAlignment="1" applyFont="1">
      <alignment shrinkToFit="0" vertical="bottom" wrapText="1"/>
    </xf>
    <xf borderId="0" fillId="4" fontId="3" numFmtId="0" xfId="0" applyAlignment="1" applyFont="1">
      <alignment horizontal="center" shrinkToFit="0" wrapText="0"/>
    </xf>
    <xf borderId="0" fillId="5" fontId="3" numFmtId="0" xfId="0" applyAlignment="1" applyFont="1">
      <alignment horizontal="center" shrinkToFit="0" wrapText="0"/>
    </xf>
    <xf borderId="0" fillId="4" fontId="3" numFmtId="0" xfId="0" applyAlignment="1" applyFont="1">
      <alignment horizontal="center" shrinkToFit="0" wrapText="0"/>
    </xf>
    <xf borderId="0" fillId="5" fontId="3" numFmtId="0" xfId="0" applyAlignment="1" applyFont="1">
      <alignment horizontal="center" shrinkToFit="0" wrapText="0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10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2" pivot="0" name="Original-style">
      <tableStyleElement dxfId="1" type="firstRowStripe"/>
      <tableStyleElement dxfId="2" type="secondRowStripe"/>
    </tableStyle>
    <tableStyle count="2" pivot="0" name="Original-style 2">
      <tableStyleElement dxfId="1" type="firstRowStripe"/>
      <tableStyleElement dxfId="2" type="secondRowStripe"/>
    </tableStyle>
    <tableStyle count="2" pivot="0" name="Original-style 3">
      <tableStyleElement dxfId="1" type="firstRowStripe"/>
      <tableStyleElement dxfId="2" type="secondRowStripe"/>
    </tableStyle>
    <tableStyle count="2" pivot="0" name="Base projeção-style">
      <tableStyleElement dxfId="1" type="firstRowStripe"/>
      <tableStyleElement dxfId="2" type="secondRowStripe"/>
    </tableStyle>
    <tableStyle count="2" pivot="0" name="Base projeção-style 2">
      <tableStyleElement dxfId="1" type="firstRowStripe"/>
      <tableStyleElement dxfId="2" type="secondRowStripe"/>
    </tableStyle>
    <tableStyle count="2" pivot="0" name="Base projeção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29112727"/>
        <c:axId val="1290827535"/>
      </c:barChart>
      <c:catAx>
        <c:axId val="152911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0827535"/>
      </c:catAx>
      <c:valAx>
        <c:axId val="1290827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9112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71047621"/>
        <c:axId val="1032111921"/>
      </c:barChart>
      <c:catAx>
        <c:axId val="271047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2111921"/>
      </c:catAx>
      <c:valAx>
        <c:axId val="1032111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1047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047124171"/>
        <c:axId val="1931900967"/>
      </c:barChart>
      <c:catAx>
        <c:axId val="20471241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1900967"/>
      </c:catAx>
      <c:valAx>
        <c:axId val="19319009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71241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:Q14" displayName="Table_4" name="Table_4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Original-style" showColumnStripes="0" showFirstColumn="1" showLastColumn="1" showRowStripes="1"/>
</table>
</file>

<file path=xl/tables/table5.xml><?xml version="1.0" encoding="utf-8"?>
<table xmlns="http://schemas.openxmlformats.org/spreadsheetml/2006/main" headerRowCount="0" ref="B20:Q27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0:Q46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 3" showColumnStripes="0" showFirstColumn="1" showLastColumn="1" showRowStripes="1"/>
</table>
</file>

<file path=xl/tables/table7.xml><?xml version="1.0" encoding="utf-8"?>
<table xmlns="http://schemas.openxmlformats.org/spreadsheetml/2006/main" headerRowCount="0" ref="A3:P14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ase projeção-style" showColumnStripes="0" showFirstColumn="1" showLastColumn="1" showRowStripes="1"/>
</table>
</file>

<file path=xl/tables/table8.xml><?xml version="1.0" encoding="utf-8"?>
<table xmlns="http://schemas.openxmlformats.org/spreadsheetml/2006/main" headerRowCount="0" ref="B20:P32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2" showColumnStripes="0" showFirstColumn="1" showLastColumn="1" showRowStripes="1"/>
</table>
</file>

<file path=xl/tables/table9.xml><?xml version="1.0" encoding="utf-8"?>
<table xmlns="http://schemas.openxmlformats.org/spreadsheetml/2006/main" headerRowCount="0" ref="B36:P42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3" showColumnStripes="0" showFirstColumn="1" showLastColumn="1" showRowStripes="1"/>
</table>
</file>

<file path=xl/tables/table10.xml><?xml version="1.0" encoding="utf-8"?>
<table xmlns="http://schemas.openxmlformats.org/spreadsheetml/2006/main" ref="A12:B20" displayName="Table_10" name="Table_10" id="10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43593.0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796</v>
      </c>
    </row>
    <row r="6">
      <c r="A6" s="4" t="s">
        <v>7</v>
      </c>
      <c r="B6" s="6">
        <f>MAX(Dados!C15:P15)</f>
        <v>102</v>
      </c>
    </row>
    <row r="7">
      <c r="A7" s="7" t="s">
        <v>8</v>
      </c>
      <c r="B7" s="8">
        <f>Dados!R20</f>
        <v>0.07286432161</v>
      </c>
    </row>
    <row r="8">
      <c r="A8" s="7" t="s">
        <v>9</v>
      </c>
      <c r="B8" s="8">
        <f>Dados!R21</f>
        <v>0.0540201005</v>
      </c>
    </row>
    <row r="9">
      <c r="A9" s="7" t="s">
        <v>10</v>
      </c>
      <c r="B9" s="8">
        <f>Dados!R22</f>
        <v>0.1407035176</v>
      </c>
    </row>
    <row r="10">
      <c r="A10" s="7" t="s">
        <v>11</v>
      </c>
      <c r="B10" s="8">
        <f>Dados!R23</f>
        <v>0.02261306533</v>
      </c>
    </row>
    <row r="11">
      <c r="A11" s="7" t="s">
        <v>12</v>
      </c>
      <c r="B11" s="8">
        <f>Dados!R24</f>
        <v>0.03140703518</v>
      </c>
    </row>
    <row r="12">
      <c r="A12" s="7" t="s">
        <v>13</v>
      </c>
      <c r="B12" s="8">
        <f>Dados!R25</f>
        <v>0.01633165829</v>
      </c>
    </row>
    <row r="13">
      <c r="A13" s="7" t="s">
        <v>14</v>
      </c>
      <c r="B13" s="8">
        <f>Dados!R26</f>
        <v>0.05025125628</v>
      </c>
    </row>
    <row r="14">
      <c r="A14" s="7" t="s">
        <v>15</v>
      </c>
      <c r="B14" s="8">
        <f>Dados!R27</f>
        <v>0.1570351759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>
        <f t="shared" ref="Q3:Q14" si="1">SUM(C3:P3)</f>
        <v>0</v>
      </c>
      <c r="R3" s="17">
        <f t="shared" ref="R3:R14" si="2">Q3/$Q$15</f>
        <v>0</v>
      </c>
    </row>
    <row r="4" ht="14.25" customHeight="1">
      <c r="A4" s="18" t="s">
        <v>21</v>
      </c>
      <c r="B4" s="18" t="s">
        <v>22</v>
      </c>
      <c r="C4" s="15">
        <f>ROUND(IF(ISBLANK(Original!D4),'Base projeção'!C4*'Base projeção'!$A$16,Original!D4),0)</f>
        <v>69</v>
      </c>
      <c r="D4" s="15">
        <f>ROUND(IF(ISBLANK(Original!E4),'Base projeção'!D4*'Base projeção'!$A$16,Original!E4),0)</f>
        <v>51</v>
      </c>
      <c r="E4" s="15">
        <f>ROUND(IF(ISBLANK(Original!F4),'Base projeção'!E4*'Base projeção'!$A$16,Original!F4),0)</f>
        <v>59</v>
      </c>
      <c r="F4" s="15">
        <f>ROUND(IF(ISBLANK(Original!G4),'Base projeção'!F4*'Base projeção'!$A$16,Original!G4),0)</f>
        <v>49</v>
      </c>
      <c r="G4" s="15">
        <f>ROUND(IF(ISBLANK(Original!H4),'Base projeção'!G4*'Base projeção'!$A$16,Original!H4),0)</f>
        <v>13</v>
      </c>
      <c r="H4" s="15">
        <f>ROUND(IF(ISBLANK(Original!I4),'Base projeção'!H4*'Base projeção'!$A$16,Original!I4),0)</f>
        <v>24</v>
      </c>
      <c r="I4" s="15">
        <f>ROUND(IF(ISBLANK(Original!J4),'Base projeção'!I4*'Base projeção'!$A$16,Original!J4),0)</f>
        <v>22</v>
      </c>
      <c r="J4" s="15">
        <f>ROUND(IF(ISBLANK(Original!K4),'Base projeção'!J4*'Base projeção'!$A$16,Original!K4),0)</f>
        <v>18</v>
      </c>
      <c r="K4" s="15">
        <f>ROUND(IF(ISBLANK(Original!L4),'Base projeção'!K4*'Base projeção'!$A$16,Original!L4),0)</f>
        <v>25</v>
      </c>
      <c r="L4" s="15">
        <f>ROUND(IF(ISBLANK(Original!M4),'Base projeção'!L4*'Base projeção'!$A$16,Original!M4),0)</f>
        <v>19</v>
      </c>
      <c r="M4" s="15">
        <f>ROUND(IF(ISBLANK(Original!N4),'Base projeção'!M4*'Base projeção'!$A$16,Original!N4),0)</f>
        <v>12</v>
      </c>
      <c r="N4" s="15">
        <f>ROUND(IF(ISBLANK(Original!O4),'Base projeção'!N4*'Base projeção'!$A$16,Original!O4),0)</f>
        <v>40</v>
      </c>
      <c r="O4" s="15">
        <f>ROUND(IF(ISBLANK(Original!P4),'Base projeção'!O4*'Base projeção'!$A$16,Original!P4),0)</f>
        <v>40</v>
      </c>
      <c r="P4" s="15">
        <f>ROUND(IF(ISBLANK(Original!Q4),'Base projeção'!P4*'Base projeção'!$A$16,Original!Q4),0)</f>
        <v>25</v>
      </c>
      <c r="Q4" s="16">
        <f t="shared" si="1"/>
        <v>466</v>
      </c>
      <c r="R4" s="17">
        <f t="shared" si="2"/>
        <v>0.5854271357</v>
      </c>
    </row>
    <row r="5" ht="14.25" customHeight="1">
      <c r="A5" s="14" t="s">
        <v>21</v>
      </c>
      <c r="B5" s="14" t="s">
        <v>23</v>
      </c>
      <c r="C5" s="15">
        <f>ROUND(IF(ISBLANK(Original!D5),'Base projeção'!C5*'Base projeção'!$A$16,Original!D5),0)</f>
        <v>4</v>
      </c>
      <c r="D5" s="15">
        <f>ROUND(IF(ISBLANK(Original!E5),'Base projeção'!D5*'Base projeção'!$A$16,Original!E5),0)</f>
        <v>2</v>
      </c>
      <c r="E5" s="15">
        <f>ROUND(IF(ISBLANK(Original!F5),'Base projeção'!E5*'Base projeção'!$A$16,Original!F5),0)</f>
        <v>4</v>
      </c>
      <c r="F5" s="15">
        <f>ROUND(IF(ISBLANK(Original!G5),'Base projeção'!F5*'Base projeção'!$A$16,Original!G5),0)</f>
        <v>1</v>
      </c>
      <c r="G5" s="15">
        <f>ROUND(IF(ISBLANK(Original!H5),'Base projeção'!G5*'Base projeção'!$A$16,Original!H5),0)</f>
        <v>1</v>
      </c>
      <c r="H5" s="15">
        <f>ROUND(IF(ISBLANK(Original!I5),'Base projeção'!H5*'Base projeção'!$A$16,Original!I5),0)</f>
        <v>4</v>
      </c>
      <c r="I5" s="15">
        <f>ROUND(IF(ISBLANK(Original!J5),'Base projeção'!I5*'Base projeção'!$A$16,Original!J5),0)</f>
        <v>3</v>
      </c>
      <c r="J5" s="15">
        <f>ROUND(IF(ISBLANK(Original!K5),'Base projeção'!J5*'Base projeção'!$A$16,Original!K5),0)</f>
        <v>4</v>
      </c>
      <c r="K5" s="15">
        <f>ROUND(IF(ISBLANK(Original!L5),'Base projeção'!K5*'Base projeção'!$A$16,Original!L5),0)</f>
        <v>1</v>
      </c>
      <c r="L5" s="15">
        <f>ROUND(IF(ISBLANK(Original!M5),'Base projeção'!L5*'Base projeção'!$A$16,Original!M5),0)</f>
        <v>2</v>
      </c>
      <c r="M5" s="15">
        <f>ROUND(IF(ISBLANK(Original!N5),'Base projeção'!M5*'Base projeção'!$A$16,Original!N5),0)</f>
        <v>1</v>
      </c>
      <c r="N5" s="15">
        <f>ROUND(IF(ISBLANK(Original!O5),'Base projeção'!N5*'Base projeção'!$A$16,Original!O5),0)</f>
        <v>2</v>
      </c>
      <c r="O5" s="15">
        <f>ROUND(IF(ISBLANK(Original!P5),'Base projeção'!O5*'Base projeção'!$A$16,Original!P5),0)</f>
        <v>0</v>
      </c>
      <c r="P5" s="15">
        <f>ROUND(IF(ISBLANK(Original!Q5),'Base projeção'!P5*'Base projeção'!$A$16,Original!Q5),0)</f>
        <v>3</v>
      </c>
      <c r="Q5" s="16">
        <f t="shared" si="1"/>
        <v>32</v>
      </c>
      <c r="R5" s="17">
        <f t="shared" si="2"/>
        <v>0.04020100503</v>
      </c>
    </row>
    <row r="6" ht="14.25" customHeight="1">
      <c r="A6" s="18" t="s">
        <v>23</v>
      </c>
      <c r="B6" s="18" t="s">
        <v>21</v>
      </c>
      <c r="C6" s="15">
        <f>ROUND(IF(ISBLANK(Original!D6),'Base projeção'!C6*'Base projeção'!$A$16,Original!D6),0)</f>
        <v>2</v>
      </c>
      <c r="D6" s="15">
        <f>ROUND(IF(ISBLANK(Original!E6),'Base projeção'!D6*'Base projeção'!$A$16,Original!E6),0)</f>
        <v>2</v>
      </c>
      <c r="E6" s="15">
        <f>ROUND(IF(ISBLANK(Original!F6),'Base projeção'!E6*'Base projeção'!$A$16,Original!F6),0)</f>
        <v>2</v>
      </c>
      <c r="F6" s="15">
        <f>ROUND(IF(ISBLANK(Original!G6),'Base projeção'!F6*'Base projeção'!$A$16,Original!G6),0)</f>
        <v>2</v>
      </c>
      <c r="G6" s="15">
        <f>ROUND(IF(ISBLANK(Original!H6),'Base projeção'!G6*'Base projeção'!$A$16,Original!H6),0)</f>
        <v>5</v>
      </c>
      <c r="H6" s="15">
        <f>ROUND(IF(ISBLANK(Original!I6),'Base projeção'!H6*'Base projeção'!$A$16,Original!I6),0)</f>
        <v>0</v>
      </c>
      <c r="I6" s="15">
        <f>ROUND(IF(ISBLANK(Original!J6),'Base projeção'!I6*'Base projeção'!$A$16,Original!J6),0)</f>
        <v>2</v>
      </c>
      <c r="J6" s="15">
        <f>ROUND(IF(ISBLANK(Original!K6),'Base projeção'!J6*'Base projeção'!$A$16,Original!K6),0)</f>
        <v>1</v>
      </c>
      <c r="K6" s="15">
        <f>ROUND(IF(ISBLANK(Original!L6),'Base projeção'!K6*'Base projeção'!$A$16,Original!L6),0)</f>
        <v>1</v>
      </c>
      <c r="L6" s="15">
        <f>ROUND(IF(ISBLANK(Original!M6),'Base projeção'!L6*'Base projeção'!$A$16,Original!M6),0)</f>
        <v>0</v>
      </c>
      <c r="M6" s="15">
        <f>ROUND(IF(ISBLANK(Original!N6),'Base projeção'!M6*'Base projeção'!$A$16,Original!N6),0)</f>
        <v>0</v>
      </c>
      <c r="N6" s="15">
        <f>ROUND(IF(ISBLANK(Original!O6),'Base projeção'!N6*'Base projeção'!$A$16,Original!O6),0)</f>
        <v>5</v>
      </c>
      <c r="O6" s="15">
        <f>ROUND(IF(ISBLANK(Original!P6),'Base projeção'!O6*'Base projeção'!$A$16,Original!P6),0)</f>
        <v>3</v>
      </c>
      <c r="P6" s="15">
        <f>ROUND(IF(ISBLANK(Original!Q6),'Base projeção'!P6*'Base projeção'!$A$16,Original!Q6),0)</f>
        <v>3</v>
      </c>
      <c r="Q6" s="16">
        <f t="shared" si="1"/>
        <v>28</v>
      </c>
      <c r="R6" s="17">
        <f t="shared" si="2"/>
        <v>0.0351758794</v>
      </c>
    </row>
    <row r="7" ht="14.25" customHeight="1">
      <c r="A7" s="18" t="s">
        <v>23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>
        <f t="shared" si="1"/>
        <v>0</v>
      </c>
      <c r="R7" s="17">
        <f t="shared" si="2"/>
        <v>0</v>
      </c>
    </row>
    <row r="8" ht="14.25" customHeight="1">
      <c r="A8" s="18" t="s">
        <v>23</v>
      </c>
      <c r="B8" s="18" t="s">
        <v>22</v>
      </c>
      <c r="C8" s="15">
        <f>ROUND(IF(ISBLANK(Original!D8),'Base projeção'!C8*'Base projeção'!$A$16,Original!D8),0)</f>
        <v>11</v>
      </c>
      <c r="D8" s="15">
        <f>ROUND(IF(ISBLANK(Original!E8),'Base projeção'!D8*'Base projeção'!$A$16,Original!E8),0)</f>
        <v>10</v>
      </c>
      <c r="E8" s="15">
        <f>ROUND(IF(ISBLANK(Original!F8),'Base projeção'!E8*'Base projeção'!$A$16,Original!F8),0)</f>
        <v>14</v>
      </c>
      <c r="F8" s="15">
        <f>ROUND(IF(ISBLANK(Original!G8),'Base projeção'!F8*'Base projeção'!$A$16,Original!G8),0)</f>
        <v>6</v>
      </c>
      <c r="G8" s="15">
        <f>ROUND(IF(ISBLANK(Original!H8),'Base projeção'!G8*'Base projeção'!$A$16,Original!H8),0)</f>
        <v>10</v>
      </c>
      <c r="H8" s="15">
        <f>ROUND(IF(ISBLANK(Original!I8),'Base projeção'!H8*'Base projeção'!$A$16,Original!I8),0)</f>
        <v>2</v>
      </c>
      <c r="I8" s="15">
        <f>ROUND(IF(ISBLANK(Original!J8),'Base projeção'!I8*'Base projeção'!$A$16,Original!J8),0)</f>
        <v>10</v>
      </c>
      <c r="J8" s="15">
        <f>ROUND(IF(ISBLANK(Original!K8),'Base projeção'!J8*'Base projeção'!$A$16,Original!K8),0)</f>
        <v>1</v>
      </c>
      <c r="K8" s="15">
        <f>ROUND(IF(ISBLANK(Original!L8),'Base projeção'!K8*'Base projeção'!$A$16,Original!L8),0)</f>
        <v>11</v>
      </c>
      <c r="L8" s="15">
        <f>ROUND(IF(ISBLANK(Original!M8),'Base projeção'!L8*'Base projeção'!$A$16,Original!M8),0)</f>
        <v>2</v>
      </c>
      <c r="M8" s="15">
        <f>ROUND(IF(ISBLANK(Original!N8),'Base projeção'!M8*'Base projeção'!$A$16,Original!N8),0)</f>
        <v>10</v>
      </c>
      <c r="N8" s="15">
        <f>ROUND(IF(ISBLANK(Original!O8),'Base projeção'!N8*'Base projeção'!$A$16,Original!O8),0)</f>
        <v>15</v>
      </c>
      <c r="O8" s="15">
        <f>ROUND(IF(ISBLANK(Original!P8),'Base projeção'!O8*'Base projeção'!$A$16,Original!P8),0)</f>
        <v>11</v>
      </c>
      <c r="P8" s="15">
        <f>ROUND(IF(ISBLANK(Original!Q8),'Base projeção'!P8*'Base projeção'!$A$16,Original!Q8),0)</f>
        <v>5</v>
      </c>
      <c r="Q8" s="16">
        <f t="shared" si="1"/>
        <v>118</v>
      </c>
      <c r="R8" s="17">
        <f t="shared" si="2"/>
        <v>0.148241206</v>
      </c>
    </row>
    <row r="9" ht="14.25" customHeight="1">
      <c r="A9" s="14" t="s">
        <v>22</v>
      </c>
      <c r="B9" s="14" t="s">
        <v>23</v>
      </c>
      <c r="C9" s="15">
        <f>ROUND(IF(ISBLANK(Original!D9),'Base projeção'!C9*'Base projeção'!$A$16,Original!D9),0)</f>
        <v>4</v>
      </c>
      <c r="D9" s="15">
        <f>ROUND(IF(ISBLANK(Original!E9),'Base projeção'!D9*'Base projeção'!$A$16,Original!E9),0)</f>
        <v>2</v>
      </c>
      <c r="E9" s="15">
        <f>ROUND(IF(ISBLANK(Original!F9),'Base projeção'!E9*'Base projeção'!$A$16,Original!F9),0)</f>
        <v>9</v>
      </c>
      <c r="F9" s="15">
        <f>ROUND(IF(ISBLANK(Original!G9),'Base projeção'!F9*'Base projeção'!$A$16,Original!G9),0)</f>
        <v>4</v>
      </c>
      <c r="G9" s="15">
        <f>ROUND(IF(ISBLANK(Original!H9),'Base projeção'!G9*'Base projeção'!$A$16,Original!H9),0)</f>
        <v>0</v>
      </c>
      <c r="H9" s="15">
        <f>ROUND(IF(ISBLANK(Original!I9),'Base projeção'!H9*'Base projeção'!$A$16,Original!I9),0)</f>
        <v>3</v>
      </c>
      <c r="I9" s="15">
        <f>ROUND(IF(ISBLANK(Original!J9),'Base projeção'!I9*'Base projeção'!$A$16,Original!J9),0)</f>
        <v>3</v>
      </c>
      <c r="J9" s="15">
        <f>ROUND(IF(ISBLANK(Original!K9),'Base projeção'!J9*'Base projeção'!$A$16,Original!K9),0)</f>
        <v>2</v>
      </c>
      <c r="K9" s="15">
        <f>ROUND(IF(ISBLANK(Original!L9),'Base projeção'!K9*'Base projeção'!$A$16,Original!L9),0)</f>
        <v>1</v>
      </c>
      <c r="L9" s="15">
        <f>ROUND(IF(ISBLANK(Original!M9),'Base projeção'!L9*'Base projeção'!$A$16,Original!M9),0)</f>
        <v>1</v>
      </c>
      <c r="M9" s="15">
        <f>ROUND(IF(ISBLANK(Original!N9),'Base projeção'!M9*'Base projeção'!$A$16,Original!N9),0)</f>
        <v>2</v>
      </c>
      <c r="N9" s="15">
        <f>ROUND(IF(ISBLANK(Original!O9),'Base projeção'!N9*'Base projeção'!$A$16,Original!O9),0)</f>
        <v>3</v>
      </c>
      <c r="O9" s="15">
        <f>ROUND(IF(ISBLANK(Original!P9),'Base projeção'!O9*'Base projeção'!$A$16,Original!P9),0)</f>
        <v>3</v>
      </c>
      <c r="P9" s="15">
        <f>ROUND(IF(ISBLANK(Original!Q9),'Base projeção'!P9*'Base projeção'!$A$16,Original!Q9),0)</f>
        <v>2</v>
      </c>
      <c r="Q9" s="16">
        <f t="shared" si="1"/>
        <v>39</v>
      </c>
      <c r="R9" s="17">
        <f t="shared" si="2"/>
        <v>0.04899497487</v>
      </c>
    </row>
    <row r="10" ht="14.25" customHeight="1">
      <c r="A10" s="18" t="s">
        <v>22</v>
      </c>
      <c r="B10" s="18" t="s">
        <v>21</v>
      </c>
      <c r="C10" s="15">
        <f>ROUND(IF(ISBLANK(Original!D10),'Base projeção'!C10*'Base projeção'!$A$16,Original!D10),0)</f>
        <v>12</v>
      </c>
      <c r="D10" s="15">
        <f>ROUND(IF(ISBLANK(Original!E10),'Base projeção'!D10*'Base projeção'!$A$16,Original!E10),0)</f>
        <v>2</v>
      </c>
      <c r="E10" s="15">
        <f>ROUND(IF(ISBLANK(Original!F10),'Base projeção'!E10*'Base projeção'!$A$16,Original!F10),0)</f>
        <v>3</v>
      </c>
      <c r="F10" s="15">
        <f>ROUND(IF(ISBLANK(Original!G10),'Base projeção'!F10*'Base projeção'!$A$16,Original!G10),0)</f>
        <v>1</v>
      </c>
      <c r="G10" s="15">
        <f>ROUND(IF(ISBLANK(Original!H10),'Base projeção'!G10*'Base projeção'!$A$16,Original!H10),0)</f>
        <v>5</v>
      </c>
      <c r="H10" s="15">
        <f>ROUND(IF(ISBLANK(Original!I10),'Base projeção'!H10*'Base projeção'!$A$16,Original!I10),0)</f>
        <v>4</v>
      </c>
      <c r="I10" s="15">
        <f>ROUND(IF(ISBLANK(Original!J10),'Base projeção'!I10*'Base projeção'!$A$16,Original!J10),0)</f>
        <v>11</v>
      </c>
      <c r="J10" s="15">
        <f>ROUND(IF(ISBLANK(Original!K10),'Base projeção'!J10*'Base projeção'!$A$16,Original!K10),0)</f>
        <v>3</v>
      </c>
      <c r="K10" s="15">
        <f>ROUND(IF(ISBLANK(Original!L10),'Base projeção'!K10*'Base projeção'!$A$16,Original!L10),0)</f>
        <v>9</v>
      </c>
      <c r="L10" s="15">
        <f>ROUND(IF(ISBLANK(Original!M10),'Base projeção'!L10*'Base projeção'!$A$16,Original!M10),0)</f>
        <v>4</v>
      </c>
      <c r="M10" s="15">
        <f>ROUND(IF(ISBLANK(Original!N10),'Base projeção'!M10*'Base projeção'!$A$16,Original!N10),0)</f>
        <v>11</v>
      </c>
      <c r="N10" s="15">
        <f>ROUND(IF(ISBLANK(Original!O10),'Base projeção'!N10*'Base projeção'!$A$16,Original!O10),0)</f>
        <v>18</v>
      </c>
      <c r="O10" s="15">
        <f>ROUND(IF(ISBLANK(Original!P10),'Base projeção'!O10*'Base projeção'!$A$16,Original!P10),0)</f>
        <v>12</v>
      </c>
      <c r="P10" s="15">
        <f>ROUND(IF(ISBLANK(Original!Q10),'Base projeção'!P10*'Base projeção'!$A$16,Original!Q10),0)</f>
        <v>18</v>
      </c>
      <c r="Q10" s="16">
        <f t="shared" si="1"/>
        <v>113</v>
      </c>
      <c r="R10" s="17">
        <f t="shared" si="2"/>
        <v>0.141959799</v>
      </c>
    </row>
    <row r="11" ht="14.25" customHeight="1">
      <c r="A11" s="18" t="s">
        <v>22</v>
      </c>
      <c r="B11" s="19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>
        <f t="shared" si="1"/>
        <v>0</v>
      </c>
      <c r="R11" s="17">
        <f t="shared" si="2"/>
        <v>0</v>
      </c>
    </row>
    <row r="12" ht="14.25" customHeight="1">
      <c r="A12" s="19" t="s">
        <v>24</v>
      </c>
      <c r="B12" s="1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>
        <f t="shared" si="1"/>
        <v>0</v>
      </c>
      <c r="R12" s="17">
        <f t="shared" si="2"/>
        <v>0</v>
      </c>
    </row>
    <row r="13" ht="14.25" customHeight="1">
      <c r="A13" s="19" t="s">
        <v>24</v>
      </c>
      <c r="B13" s="1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>
        <f t="shared" si="1"/>
        <v>0</v>
      </c>
      <c r="R13" s="17">
        <f t="shared" si="2"/>
        <v>0</v>
      </c>
    </row>
    <row r="14" ht="14.25" customHeight="1">
      <c r="A14" s="19" t="s">
        <v>24</v>
      </c>
      <c r="B14" s="19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>
        <f t="shared" si="1"/>
        <v>0</v>
      </c>
      <c r="R14" s="17">
        <f t="shared" si="2"/>
        <v>0</v>
      </c>
    </row>
    <row r="15" ht="14.25" customHeight="1">
      <c r="A15" s="20"/>
      <c r="B15" s="20" t="s">
        <v>19</v>
      </c>
      <c r="C15" s="16">
        <f t="shared" ref="C15:Q15" si="3">SUM(C$3:C$14)</f>
        <v>102</v>
      </c>
      <c r="D15" s="16">
        <f t="shared" si="3"/>
        <v>69</v>
      </c>
      <c r="E15" s="16">
        <f t="shared" si="3"/>
        <v>91</v>
      </c>
      <c r="F15" s="16">
        <f t="shared" si="3"/>
        <v>63</v>
      </c>
      <c r="G15" s="16">
        <f t="shared" si="3"/>
        <v>34</v>
      </c>
      <c r="H15" s="16">
        <f t="shared" si="3"/>
        <v>37</v>
      </c>
      <c r="I15" s="16">
        <f t="shared" si="3"/>
        <v>51</v>
      </c>
      <c r="J15" s="16">
        <f t="shared" si="3"/>
        <v>29</v>
      </c>
      <c r="K15" s="16">
        <f t="shared" si="3"/>
        <v>48</v>
      </c>
      <c r="L15" s="16">
        <f t="shared" si="3"/>
        <v>28</v>
      </c>
      <c r="M15" s="16">
        <f t="shared" si="3"/>
        <v>36</v>
      </c>
      <c r="N15" s="16">
        <f t="shared" si="3"/>
        <v>83</v>
      </c>
      <c r="O15" s="16">
        <f t="shared" si="3"/>
        <v>69</v>
      </c>
      <c r="P15" s="16">
        <f t="shared" si="3"/>
        <v>56</v>
      </c>
      <c r="Q15" s="16">
        <f t="shared" si="3"/>
        <v>796</v>
      </c>
      <c r="R15" s="17"/>
    </row>
    <row r="16" ht="13.5" customHeight="1">
      <c r="A16" s="21"/>
      <c r="B16" s="21" t="s">
        <v>25</v>
      </c>
      <c r="C16" s="22">
        <f t="shared" ref="C16:P16" si="4">C15/$Q$15</f>
        <v>0.1281407035</v>
      </c>
      <c r="D16" s="22">
        <f t="shared" si="4"/>
        <v>0.08668341709</v>
      </c>
      <c r="E16" s="22">
        <f t="shared" si="4"/>
        <v>0.114321608</v>
      </c>
      <c r="F16" s="22">
        <f t="shared" si="4"/>
        <v>0.07914572864</v>
      </c>
      <c r="G16" s="22">
        <f t="shared" si="4"/>
        <v>0.04271356784</v>
      </c>
      <c r="H16" s="22">
        <f t="shared" si="4"/>
        <v>0.04648241206</v>
      </c>
      <c r="I16" s="22">
        <f t="shared" si="4"/>
        <v>0.06407035176</v>
      </c>
      <c r="J16" s="22">
        <f t="shared" si="4"/>
        <v>0.0364321608</v>
      </c>
      <c r="K16" s="22">
        <f t="shared" si="4"/>
        <v>0.06030150754</v>
      </c>
      <c r="L16" s="22">
        <f t="shared" si="4"/>
        <v>0.0351758794</v>
      </c>
      <c r="M16" s="22">
        <f t="shared" si="4"/>
        <v>0.04522613065</v>
      </c>
      <c r="N16" s="22">
        <f t="shared" si="4"/>
        <v>0.1042713568</v>
      </c>
      <c r="O16" s="22">
        <f t="shared" si="4"/>
        <v>0.08668341709</v>
      </c>
      <c r="P16" s="22">
        <f t="shared" si="4"/>
        <v>0.07035175879</v>
      </c>
      <c r="Q16" s="22">
        <f>SUM(C16:P16)</f>
        <v>1</v>
      </c>
      <c r="R16" s="17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9" t="s">
        <v>26</v>
      </c>
    </row>
    <row r="19" ht="12.0" customHeight="1">
      <c r="A19" s="26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7"/>
      <c r="B20" s="28" t="s">
        <v>8</v>
      </c>
      <c r="C20" s="15">
        <f>ROUND(IF(ISBLANK(Original!D20),'Base projeção'!C20*'Base projeção'!$A$16,Original!D20),0)</f>
        <v>5</v>
      </c>
      <c r="D20" s="15">
        <f>ROUND(IF(ISBLANK(Original!E20),'Base projeção'!D20*'Base projeção'!$A$16,Original!E20),0)</f>
        <v>3</v>
      </c>
      <c r="E20" s="15">
        <f>ROUND(IF(ISBLANK(Original!F20),'Base projeção'!E20*'Base projeção'!$A$16,Original!F20),0)</f>
        <v>8</v>
      </c>
      <c r="F20" s="15">
        <f>ROUND(IF(ISBLANK(Original!G20),'Base projeção'!F20*'Base projeção'!$A$16,Original!G20),0)</f>
        <v>4</v>
      </c>
      <c r="G20" s="15">
        <f>ROUND(IF(ISBLANK(Original!H20),'Base projeção'!G20*'Base projeção'!$A$16,Original!H20),0)</f>
        <v>1</v>
      </c>
      <c r="H20" s="15">
        <f>ROUND(IF(ISBLANK(Original!I20),'Base projeção'!H20*'Base projeção'!$A$16,Original!I20),0)</f>
        <v>4</v>
      </c>
      <c r="I20" s="15">
        <f>ROUND(IF(ISBLANK(Original!J20),'Base projeção'!I20*'Base projeção'!$A$16,Original!J20),0)</f>
        <v>1</v>
      </c>
      <c r="J20" s="15">
        <f>ROUND(IF(ISBLANK(Original!K20),'Base projeção'!J20*'Base projeção'!$A$16,Original!K20),0)</f>
        <v>5</v>
      </c>
      <c r="K20" s="15">
        <f>ROUND(IF(ISBLANK(Original!L20),'Base projeção'!K20*'Base projeção'!$A$16,Original!L20),0)</f>
        <v>7</v>
      </c>
      <c r="L20" s="15">
        <f>ROUND(IF(ISBLANK(Original!M20),'Base projeção'!L20*'Base projeção'!$A$16,Original!M20),0)</f>
        <v>1</v>
      </c>
      <c r="M20" s="15">
        <f>ROUND(IF(ISBLANK(Original!N20),'Base projeção'!M20*'Base projeção'!$A$16,Original!N20),0)</f>
        <v>2</v>
      </c>
      <c r="N20" s="15">
        <f>ROUND(IF(ISBLANK(Original!O20),'Base projeção'!N20*'Base projeção'!$A$16,Original!O20),0)</f>
        <v>10</v>
      </c>
      <c r="O20" s="15">
        <f>ROUND(IF(ISBLANK(Original!P20),'Base projeção'!O20*'Base projeção'!$A$16,Original!P20),0)</f>
        <v>2</v>
      </c>
      <c r="P20" s="15">
        <f>ROUND(IF(ISBLANK(Original!Q20),'Base projeção'!P20*'Base projeção'!$A$16,Original!Q20),0)</f>
        <v>5</v>
      </c>
      <c r="Q20" s="12">
        <f t="shared" ref="Q20:Q27" si="5">SUM(C20:P20)</f>
        <v>58</v>
      </c>
      <c r="R20" s="13">
        <f t="shared" ref="R20:R27" si="6">Q20/$Q$15</f>
        <v>0.07286432161</v>
      </c>
    </row>
    <row r="21" ht="14.25" customHeight="1">
      <c r="A21" s="27"/>
      <c r="B21" s="28" t="s">
        <v>10</v>
      </c>
      <c r="C21" s="15">
        <f>ROUND(IF(ISBLANK(Original!D21),'Base projeção'!C21*'Base projeção'!$A$16,Original!D21),0)</f>
        <v>4</v>
      </c>
      <c r="D21" s="15">
        <f>ROUND(IF(ISBLANK(Original!E21),'Base projeção'!D21*'Base projeção'!$A$16,Original!E21),0)</f>
        <v>1</v>
      </c>
      <c r="E21" s="15">
        <f>ROUND(IF(ISBLANK(Original!F21),'Base projeção'!E21*'Base projeção'!$A$16,Original!F21),0)</f>
        <v>0</v>
      </c>
      <c r="F21" s="15">
        <f>ROUND(IF(ISBLANK(Original!G21),'Base projeção'!F21*'Base projeção'!$A$16,Original!G21),0)</f>
        <v>0</v>
      </c>
      <c r="G21" s="15">
        <f>ROUND(IF(ISBLANK(Original!H21),'Base projeção'!G21*'Base projeção'!$A$16,Original!H21),0)</f>
        <v>0</v>
      </c>
      <c r="H21" s="15">
        <f>ROUND(IF(ISBLANK(Original!I21),'Base projeção'!H21*'Base projeção'!$A$16,Original!I21),0)</f>
        <v>0</v>
      </c>
      <c r="I21" s="15">
        <f>ROUND(IF(ISBLANK(Original!J21),'Base projeção'!I21*'Base projeção'!$A$16,Original!J21),0)</f>
        <v>10</v>
      </c>
      <c r="J21" s="15">
        <f>ROUND(IF(ISBLANK(Original!K21),'Base projeção'!J21*'Base projeção'!$A$16,Original!K21),0)</f>
        <v>7</v>
      </c>
      <c r="K21" s="15">
        <f>ROUND(IF(ISBLANK(Original!L21),'Base projeção'!K21*'Base projeção'!$A$16,Original!L21),0)</f>
        <v>4</v>
      </c>
      <c r="L21" s="15">
        <f>ROUND(IF(ISBLANK(Original!M21),'Base projeção'!L21*'Base projeção'!$A$16,Original!M21),0)</f>
        <v>6</v>
      </c>
      <c r="M21" s="15">
        <f>ROUND(IF(ISBLANK(Original!N21),'Base projeção'!M21*'Base projeção'!$A$16,Original!N21),0)</f>
        <v>1</v>
      </c>
      <c r="N21" s="15">
        <f>ROUND(IF(ISBLANK(Original!O21),'Base projeção'!N21*'Base projeção'!$A$16,Original!O21),0)</f>
        <v>4</v>
      </c>
      <c r="O21" s="15">
        <f>ROUND(IF(ISBLANK(Original!P21),'Base projeção'!O21*'Base projeção'!$A$16,Original!P21),0)</f>
        <v>2</v>
      </c>
      <c r="P21" s="15">
        <f>ROUND(IF(ISBLANK(Original!Q21),'Base projeção'!P21*'Base projeção'!$A$16,Original!Q21),0)</f>
        <v>4</v>
      </c>
      <c r="Q21" s="12">
        <f t="shared" si="5"/>
        <v>43</v>
      </c>
      <c r="R21" s="13">
        <f t="shared" si="6"/>
        <v>0.0540201005</v>
      </c>
    </row>
    <row r="22" ht="14.25" customHeight="1">
      <c r="A22" s="27"/>
      <c r="B22" s="28" t="s">
        <v>9</v>
      </c>
      <c r="C22" s="15">
        <f>ROUND(IF(ISBLANK(Original!D22),'Base projeção'!C22*'Base projeção'!$A$16,Original!D22),0)</f>
        <v>5</v>
      </c>
      <c r="D22" s="15">
        <f>ROUND(IF(ISBLANK(Original!E22),'Base projeção'!D22*'Base projeção'!$A$16,Original!E22),0)</f>
        <v>10</v>
      </c>
      <c r="E22" s="15">
        <f>ROUND(IF(ISBLANK(Original!F22),'Base projeção'!E22*'Base projeção'!$A$16,Original!F22),0)</f>
        <v>7</v>
      </c>
      <c r="F22" s="15">
        <f>ROUND(IF(ISBLANK(Original!G22),'Base projeção'!F22*'Base projeção'!$A$16,Original!G22),0)</f>
        <v>8</v>
      </c>
      <c r="G22" s="15">
        <f>ROUND(IF(ISBLANK(Original!H22),'Base projeção'!G22*'Base projeção'!$A$16,Original!H22),0)</f>
        <v>5</v>
      </c>
      <c r="H22" s="15">
        <f>ROUND(IF(ISBLANK(Original!I22),'Base projeção'!H22*'Base projeção'!$A$16,Original!I22),0)</f>
        <v>7</v>
      </c>
      <c r="I22" s="15">
        <f>ROUND(IF(ISBLANK(Original!J22),'Base projeção'!I22*'Base projeção'!$A$16,Original!J22),0)</f>
        <v>7</v>
      </c>
      <c r="J22" s="15">
        <f>ROUND(IF(ISBLANK(Original!K22),'Base projeção'!J22*'Base projeção'!$A$16,Original!K22),0)</f>
        <v>3</v>
      </c>
      <c r="K22" s="15">
        <f>ROUND(IF(ISBLANK(Original!L22),'Base projeção'!K22*'Base projeção'!$A$16,Original!L22),0)</f>
        <v>5</v>
      </c>
      <c r="L22" s="15">
        <f>ROUND(IF(ISBLANK(Original!M22),'Base projeção'!L22*'Base projeção'!$A$16,Original!M22),0)</f>
        <v>4</v>
      </c>
      <c r="M22" s="15">
        <f>ROUND(IF(ISBLANK(Original!N22),'Base projeção'!M22*'Base projeção'!$A$16,Original!N22),0)</f>
        <v>5</v>
      </c>
      <c r="N22" s="15">
        <f>ROUND(IF(ISBLANK(Original!O22),'Base projeção'!N22*'Base projeção'!$A$16,Original!O22),0)</f>
        <v>18</v>
      </c>
      <c r="O22" s="15">
        <f>ROUND(IF(ISBLANK(Original!P22),'Base projeção'!O22*'Base projeção'!$A$16,Original!P22),0)</f>
        <v>10</v>
      </c>
      <c r="P22" s="15">
        <f>ROUND(IF(ISBLANK(Original!Q22),'Base projeção'!P22*'Base projeção'!$A$16,Original!Q22),0)</f>
        <v>18</v>
      </c>
      <c r="Q22" s="12">
        <f t="shared" si="5"/>
        <v>112</v>
      </c>
      <c r="R22" s="13">
        <f t="shared" si="6"/>
        <v>0.1407035176</v>
      </c>
    </row>
    <row r="23" ht="14.25" customHeight="1">
      <c r="A23" s="27"/>
      <c r="B23" s="29" t="s">
        <v>11</v>
      </c>
      <c r="C23" s="15">
        <f>ROUND(IF(ISBLANK(Original!D23),'Base projeção'!C23*'Base projeção'!$A$16,Original!D23),0)</f>
        <v>0</v>
      </c>
      <c r="D23" s="15">
        <f>ROUND(IF(ISBLANK(Original!E23),'Base projeção'!D23*'Base projeção'!$A$16,Original!E23),0)</f>
        <v>3</v>
      </c>
      <c r="E23" s="15">
        <f>ROUND(IF(ISBLANK(Original!F23),'Base projeção'!E23*'Base projeção'!$A$16,Original!F23),0)</f>
        <v>0</v>
      </c>
      <c r="F23" s="15">
        <f>ROUND(IF(ISBLANK(Original!G23),'Base projeção'!F23*'Base projeção'!$A$16,Original!G23),0)</f>
        <v>0</v>
      </c>
      <c r="G23" s="15">
        <f>ROUND(IF(ISBLANK(Original!H23),'Base projeção'!G23*'Base projeção'!$A$16,Original!H23),0)</f>
        <v>1</v>
      </c>
      <c r="H23" s="15">
        <f>ROUND(IF(ISBLANK(Original!I23),'Base projeção'!H23*'Base projeção'!$A$16,Original!I23),0)</f>
        <v>2</v>
      </c>
      <c r="I23" s="15">
        <f>ROUND(IF(ISBLANK(Original!J23),'Base projeção'!I23*'Base projeção'!$A$16,Original!J23),0)</f>
        <v>2</v>
      </c>
      <c r="J23" s="15">
        <f>ROUND(IF(ISBLANK(Original!K23),'Base projeção'!J23*'Base projeção'!$A$16,Original!K23),0)</f>
        <v>2</v>
      </c>
      <c r="K23" s="15">
        <f>ROUND(IF(ISBLANK(Original!L23),'Base projeção'!K23*'Base projeção'!$A$16,Original!L23),0)</f>
        <v>1</v>
      </c>
      <c r="L23" s="15">
        <f>ROUND(IF(ISBLANK(Original!M23),'Base projeção'!L23*'Base projeção'!$A$16,Original!M23),0)</f>
        <v>0</v>
      </c>
      <c r="M23" s="15">
        <f>ROUND(IF(ISBLANK(Original!N23),'Base projeção'!M23*'Base projeção'!$A$16,Original!N23),0)</f>
        <v>0</v>
      </c>
      <c r="N23" s="15">
        <f>ROUND(IF(ISBLANK(Original!O23),'Base projeção'!N23*'Base projeção'!$A$16,Original!O23),0)</f>
        <v>5</v>
      </c>
      <c r="O23" s="15">
        <f>ROUND(IF(ISBLANK(Original!P23),'Base projeção'!O23*'Base projeção'!$A$16,Original!P23),0)</f>
        <v>0</v>
      </c>
      <c r="P23" s="15">
        <f>ROUND(IF(ISBLANK(Original!Q23),'Base projeção'!P23*'Base projeção'!$A$16,Original!Q23),0)</f>
        <v>2</v>
      </c>
      <c r="Q23" s="12">
        <f t="shared" si="5"/>
        <v>18</v>
      </c>
      <c r="R23" s="13">
        <f t="shared" si="6"/>
        <v>0.02261306533</v>
      </c>
    </row>
    <row r="24" ht="14.25" customHeight="1">
      <c r="A24" s="27"/>
      <c r="B24" s="30" t="s">
        <v>12</v>
      </c>
      <c r="C24" s="15">
        <f>ROUND(IF(ISBLANK(Original!D24),'Base projeção'!C24*'Base projeção'!$A$16,Original!D24),0)</f>
        <v>7</v>
      </c>
      <c r="D24" s="15">
        <f>ROUND(IF(ISBLANK(Original!E24),'Base projeção'!D24*'Base projeção'!$A$16,Original!E24),0)</f>
        <v>7</v>
      </c>
      <c r="E24" s="15">
        <f>ROUND(IF(ISBLANK(Original!F24),'Base projeção'!E24*'Base projeção'!$A$16,Original!F24),0)</f>
        <v>3</v>
      </c>
      <c r="F24" s="15">
        <f>ROUND(IF(ISBLANK(Original!G24),'Base projeção'!F24*'Base projeção'!$A$16,Original!G24),0)</f>
        <v>7</v>
      </c>
      <c r="G24" s="15">
        <f>ROUND(IF(ISBLANK(Original!H24),'Base projeção'!G24*'Base projeção'!$A$16,Original!H24),0)</f>
        <v>0</v>
      </c>
      <c r="H24" s="15">
        <f>ROUND(IF(ISBLANK(Original!I24),'Base projeção'!H24*'Base projeção'!$A$16,Original!I24),0)</f>
        <v>0</v>
      </c>
      <c r="I24" s="15">
        <f>ROUND(IF(ISBLANK(Original!J24),'Base projeção'!I24*'Base projeção'!$A$16,Original!J24),0)</f>
        <v>0</v>
      </c>
      <c r="J24" s="15">
        <f>ROUND(IF(ISBLANK(Original!K24),'Base projeção'!J24*'Base projeção'!$A$16,Original!K24),0)</f>
        <v>0</v>
      </c>
      <c r="K24" s="15">
        <f>ROUND(IF(ISBLANK(Original!L24),'Base projeção'!K24*'Base projeção'!$A$16,Original!L24),0)</f>
        <v>0</v>
      </c>
      <c r="L24" s="15">
        <f>ROUND(IF(ISBLANK(Original!M24),'Base projeção'!L24*'Base projeção'!$A$16,Original!M24),0)</f>
        <v>1</v>
      </c>
      <c r="M24" s="15">
        <f>ROUND(IF(ISBLANK(Original!N24),'Base projeção'!M24*'Base projeção'!$A$16,Original!N24),0)</f>
        <v>0</v>
      </c>
      <c r="N24" s="15">
        <f>ROUND(IF(ISBLANK(Original!O24),'Base projeção'!N24*'Base projeção'!$A$16,Original!O24),0)</f>
        <v>0</v>
      </c>
      <c r="O24" s="15">
        <f>ROUND(IF(ISBLANK(Original!P24),'Base projeção'!O24*'Base projeção'!$A$16,Original!P24),0)</f>
        <v>0</v>
      </c>
      <c r="P24" s="15">
        <f>ROUND(IF(ISBLANK(Original!Q24),'Base projeção'!P24*'Base projeção'!$A$16,Original!Q24),0)</f>
        <v>0</v>
      </c>
      <c r="Q24" s="12">
        <f t="shared" si="5"/>
        <v>25</v>
      </c>
      <c r="R24" s="13">
        <f t="shared" si="6"/>
        <v>0.03140703518</v>
      </c>
    </row>
    <row r="25" ht="14.25" customHeight="1">
      <c r="A25" s="27"/>
      <c r="B25" s="29" t="s">
        <v>13</v>
      </c>
      <c r="C25" s="15">
        <f>ROUND(IF(ISBLANK(Original!D25),'Base projeção'!C25*'Base projeção'!$A$16,Original!D25),0)</f>
        <v>1</v>
      </c>
      <c r="D25" s="15">
        <f>ROUND(IF(ISBLANK(Original!E25),'Base projeção'!D25*'Base projeção'!$A$16,Original!E25),0)</f>
        <v>2</v>
      </c>
      <c r="E25" s="15">
        <f>ROUND(IF(ISBLANK(Original!F25),'Base projeção'!E25*'Base projeção'!$A$16,Original!F25),0)</f>
        <v>4</v>
      </c>
      <c r="F25" s="15">
        <f>ROUND(IF(ISBLANK(Original!G25),'Base projeção'!F25*'Base projeção'!$A$16,Original!G25),0)</f>
        <v>4</v>
      </c>
      <c r="G25" s="15">
        <f>ROUND(IF(ISBLANK(Original!H25),'Base projeção'!G25*'Base projeção'!$A$16,Original!H25),0)</f>
        <v>0</v>
      </c>
      <c r="H25" s="15">
        <f>ROUND(IF(ISBLANK(Original!I25),'Base projeção'!H25*'Base projeção'!$A$16,Original!I25),0)</f>
        <v>0</v>
      </c>
      <c r="I25" s="15">
        <f>ROUND(IF(ISBLANK(Original!J25),'Base projeção'!I25*'Base projeção'!$A$16,Original!J25),0)</f>
        <v>0</v>
      </c>
      <c r="J25" s="15">
        <f>ROUND(IF(ISBLANK(Original!K25),'Base projeção'!J25*'Base projeção'!$A$16,Original!K25),0)</f>
        <v>1</v>
      </c>
      <c r="K25" s="15">
        <f>ROUND(IF(ISBLANK(Original!L25),'Base projeção'!K25*'Base projeção'!$A$16,Original!L25),0)</f>
        <v>0</v>
      </c>
      <c r="L25" s="15">
        <f>ROUND(IF(ISBLANK(Original!M25),'Base projeção'!L25*'Base projeção'!$A$16,Original!M25),0)</f>
        <v>0</v>
      </c>
      <c r="M25" s="15">
        <f>ROUND(IF(ISBLANK(Original!N25),'Base projeção'!M25*'Base projeção'!$A$16,Original!N25),0)</f>
        <v>1</v>
      </c>
      <c r="N25" s="15">
        <f>ROUND(IF(ISBLANK(Original!O25),'Base projeção'!N25*'Base projeção'!$A$16,Original!O25),0)</f>
        <v>0</v>
      </c>
      <c r="O25" s="15">
        <f>ROUND(IF(ISBLANK(Original!P25),'Base projeção'!O25*'Base projeção'!$A$16,Original!P25),0)</f>
        <v>0</v>
      </c>
      <c r="P25" s="15">
        <f>ROUND(IF(ISBLANK(Original!Q25),'Base projeção'!P25*'Base projeção'!$A$16,Original!Q25),0)</f>
        <v>0</v>
      </c>
      <c r="Q25" s="12">
        <f t="shared" si="5"/>
        <v>13</v>
      </c>
      <c r="R25" s="13">
        <f t="shared" si="6"/>
        <v>0.01633165829</v>
      </c>
    </row>
    <row r="26" ht="14.25" customHeight="1">
      <c r="A26" s="27"/>
      <c r="B26" s="30" t="s">
        <v>14</v>
      </c>
      <c r="C26" s="15">
        <f>ROUND(IF(ISBLANK(Original!D26),'Base projeção'!C26*'Base projeção'!$A$16,Original!D26),0)</f>
        <v>7</v>
      </c>
      <c r="D26" s="15">
        <f>ROUND(IF(ISBLANK(Original!E26),'Base projeção'!D26*'Base projeção'!$A$16,Original!E26),0)</f>
        <v>1</v>
      </c>
      <c r="E26" s="15">
        <f>ROUND(IF(ISBLANK(Original!F26),'Base projeção'!E26*'Base projeção'!$A$16,Original!F26),0)</f>
        <v>6</v>
      </c>
      <c r="F26" s="15">
        <f>ROUND(IF(ISBLANK(Original!G26),'Base projeção'!F26*'Base projeção'!$A$16,Original!G26),0)</f>
        <v>3</v>
      </c>
      <c r="G26" s="15">
        <f>ROUND(IF(ISBLANK(Original!H26),'Base projeção'!G26*'Base projeção'!$A$16,Original!H26),0)</f>
        <v>4</v>
      </c>
      <c r="H26" s="15">
        <f>ROUND(IF(ISBLANK(Original!I26),'Base projeção'!H26*'Base projeção'!$A$16,Original!I26),0)</f>
        <v>3</v>
      </c>
      <c r="I26" s="15">
        <f>ROUND(IF(ISBLANK(Original!J26),'Base projeção'!I26*'Base projeção'!$A$16,Original!J26),0)</f>
        <v>2</v>
      </c>
      <c r="J26" s="15">
        <f>ROUND(IF(ISBLANK(Original!K26),'Base projeção'!J26*'Base projeção'!$A$16,Original!K26),0)</f>
        <v>1</v>
      </c>
      <c r="K26" s="15">
        <f>ROUND(IF(ISBLANK(Original!L26),'Base projeção'!K26*'Base projeção'!$A$16,Original!L26),0)</f>
        <v>2</v>
      </c>
      <c r="L26" s="15">
        <f>ROUND(IF(ISBLANK(Original!M26),'Base projeção'!L26*'Base projeção'!$A$16,Original!M26),0)</f>
        <v>6</v>
      </c>
      <c r="M26" s="15">
        <f>ROUND(IF(ISBLANK(Original!N26),'Base projeção'!M26*'Base projeção'!$A$16,Original!N26),0)</f>
        <v>2</v>
      </c>
      <c r="N26" s="15">
        <f>ROUND(IF(ISBLANK(Original!O26),'Base projeção'!N26*'Base projeção'!$A$16,Original!O26),0)</f>
        <v>2</v>
      </c>
      <c r="O26" s="15">
        <f>ROUND(IF(ISBLANK(Original!P26),'Base projeção'!O26*'Base projeção'!$A$16,Original!P26),0)</f>
        <v>0</v>
      </c>
      <c r="P26" s="15">
        <f>ROUND(IF(ISBLANK(Original!Q26),'Base projeção'!P26*'Base projeção'!$A$16,Original!Q26),0)</f>
        <v>1</v>
      </c>
      <c r="Q26" s="12">
        <f t="shared" si="5"/>
        <v>40</v>
      </c>
      <c r="R26" s="13">
        <f t="shared" si="6"/>
        <v>0.05025125628</v>
      </c>
    </row>
    <row r="27" ht="14.25" customHeight="1">
      <c r="A27" s="27"/>
      <c r="B27" s="28" t="s">
        <v>15</v>
      </c>
      <c r="C27" s="15">
        <f>ROUND(IF(ISBLANK(Original!D27),'Base projeção'!C27*'Base projeção'!$A$16,Original!D27),0)</f>
        <v>20</v>
      </c>
      <c r="D27" s="15">
        <f>ROUND(IF(ISBLANK(Original!E27),'Base projeção'!D27*'Base projeção'!$A$16,Original!E27),0)</f>
        <v>37</v>
      </c>
      <c r="E27" s="15">
        <f>ROUND(IF(ISBLANK(Original!F27),'Base projeção'!E27*'Base projeção'!$A$16,Original!F27),0)</f>
        <v>30</v>
      </c>
      <c r="F27" s="15">
        <f>ROUND(IF(ISBLANK(Original!G27),'Base projeção'!F27*'Base projeção'!$A$16,Original!G27),0)</f>
        <v>15</v>
      </c>
      <c r="G27" s="15">
        <f>ROUND(IF(ISBLANK(Original!H27),'Base projeção'!G27*'Base projeção'!$A$16,Original!H27),0)</f>
        <v>4</v>
      </c>
      <c r="H27" s="15">
        <f>ROUND(IF(ISBLANK(Original!I27),'Base projeção'!H27*'Base projeção'!$A$16,Original!I27),0)</f>
        <v>4</v>
      </c>
      <c r="I27" s="15">
        <f>ROUND(IF(ISBLANK(Original!J27),'Base projeção'!I27*'Base projeção'!$A$16,Original!J27),0)</f>
        <v>3</v>
      </c>
      <c r="J27" s="15">
        <f>ROUND(IF(ISBLANK(Original!K27),'Base projeção'!J27*'Base projeção'!$A$16,Original!K27),0)</f>
        <v>1</v>
      </c>
      <c r="K27" s="15">
        <f>ROUND(IF(ISBLANK(Original!L27),'Base projeção'!K27*'Base projeção'!$A$16,Original!L27),0)</f>
        <v>2</v>
      </c>
      <c r="L27" s="15">
        <f>ROUND(IF(ISBLANK(Original!M27),'Base projeção'!L27*'Base projeção'!$A$16,Original!M27),0)</f>
        <v>0</v>
      </c>
      <c r="M27" s="15">
        <f>ROUND(IF(ISBLANK(Original!N27),'Base projeção'!M27*'Base projeção'!$A$16,Original!N27),0)</f>
        <v>2</v>
      </c>
      <c r="N27" s="15">
        <f>ROUND(IF(ISBLANK(Original!O27),'Base projeção'!N27*'Base projeção'!$A$16,Original!O27),0)</f>
        <v>4</v>
      </c>
      <c r="O27" s="15">
        <f>ROUND(IF(ISBLANK(Original!P27),'Base projeção'!O27*'Base projeção'!$A$16,Original!P27),0)</f>
        <v>1</v>
      </c>
      <c r="P27" s="15">
        <f>ROUND(IF(ISBLANK(Original!Q27),'Base projeção'!P27*'Base projeção'!$A$16,Original!Q27),0)</f>
        <v>2</v>
      </c>
      <c r="Q27" s="12">
        <f t="shared" si="5"/>
        <v>125</v>
      </c>
      <c r="R27" s="13">
        <f t="shared" si="6"/>
        <v>0.1570351759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4.25" customHeight="1">
      <c r="A29" s="9" t="s">
        <v>28</v>
      </c>
    </row>
    <row r="30" ht="14.25" customHeight="1">
      <c r="A30" s="26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7"/>
      <c r="B31" s="28" t="s">
        <v>29</v>
      </c>
      <c r="C31" s="15">
        <f>ROUND(IF(ISBLANK(Original!D31),'Base projeção'!C23*'Base projeção'!$A$16,Original!D31),0)</f>
        <v>0</v>
      </c>
      <c r="D31" s="15">
        <f>ROUND(IF(ISBLANK(Original!E31),'Base projeção'!D23*'Base projeção'!$A$16,Original!E31),0)</f>
        <v>2</v>
      </c>
      <c r="E31" s="15">
        <f>ROUND(IF(ISBLANK(Original!F31),'Base projeção'!E23*'Base projeção'!$A$16,Original!F31),0)</f>
        <v>0</v>
      </c>
      <c r="F31" s="15">
        <f>ROUND(IF(ISBLANK(Original!G31),'Base projeção'!F23*'Base projeção'!$A$16,Original!G31),0)</f>
        <v>0</v>
      </c>
      <c r="G31" s="15">
        <f>ROUND(IF(ISBLANK(Original!H31),'Base projeção'!G23*'Base projeção'!$A$16,Original!H31),0)</f>
        <v>1</v>
      </c>
      <c r="H31" s="15">
        <f>ROUND(IF(ISBLANK(Original!I31),'Base projeção'!H23*'Base projeção'!$A$16,Original!I31),0)</f>
        <v>2</v>
      </c>
      <c r="I31" s="15">
        <f>ROUND(IF(ISBLANK(Original!J31),'Base projeção'!I23*'Base projeção'!$A$16,Original!J31),0)</f>
        <v>2</v>
      </c>
      <c r="J31" s="15">
        <f>ROUND(IF(ISBLANK(Original!K31),'Base projeção'!J23*'Base projeção'!$A$16,Original!K31),0)</f>
        <v>2</v>
      </c>
      <c r="K31" s="15">
        <f>ROUND(IF(ISBLANK(Original!L31),'Base projeção'!K23*'Base projeção'!$A$16,Original!L31),0)</f>
        <v>1</v>
      </c>
      <c r="L31" s="15">
        <f>ROUND(IF(ISBLANK(Original!M31),'Base projeção'!L23*'Base projeção'!$A$16,Original!M31),0)</f>
        <v>0</v>
      </c>
      <c r="M31" s="15">
        <f>ROUND(IF(ISBLANK(Original!N31),'Base projeção'!M23*'Base projeção'!$A$16,Original!N31),0)</f>
        <v>0</v>
      </c>
      <c r="N31" s="15">
        <f>ROUND(IF(ISBLANK(Original!O31),'Base projeção'!N23*'Base projeção'!$A$16,Original!O31),0)</f>
        <v>5</v>
      </c>
      <c r="O31" s="15">
        <f>ROUND(IF(ISBLANK(Original!P31),'Base projeção'!O23*'Base projeção'!$A$16,Original!P31),0)</f>
        <v>0</v>
      </c>
      <c r="P31" s="15">
        <f>ROUND(IF(ISBLANK(Original!Q31),'Base projeção'!P23*'Base projeção'!$A$16,Original!Q31),0)</f>
        <v>2</v>
      </c>
      <c r="Q31" s="12">
        <f t="shared" ref="Q31:Q34" si="7">SUM(C31:P31)</f>
        <v>17</v>
      </c>
      <c r="R31" s="13">
        <f t="shared" ref="R31:R34" si="8">Q31/$Q$15</f>
        <v>0.02135678392</v>
      </c>
    </row>
    <row r="32" ht="14.25" customHeight="1">
      <c r="A32" s="27"/>
      <c r="B32" s="28" t="s">
        <v>30</v>
      </c>
      <c r="C32" s="15">
        <f>ROUND(IF(ISBLANK(Original!D32),'Base projeção'!C24*'Base projeção'!$A$16,Original!D32),0)</f>
        <v>0</v>
      </c>
      <c r="D32" s="15">
        <f>ROUND(IF(ISBLANK(Original!E32),'Base projeção'!D24*'Base projeção'!$A$16,Original!E32),0)</f>
        <v>1</v>
      </c>
      <c r="E32" s="15">
        <f>ROUND(IF(ISBLANK(Original!F32),'Base projeção'!E24*'Base projeção'!$A$16,Original!F32),0)</f>
        <v>0</v>
      </c>
      <c r="F32" s="15">
        <f>ROUND(IF(ISBLANK(Original!G32),'Base projeção'!F24*'Base projeção'!$A$16,Original!G32),0)</f>
        <v>0</v>
      </c>
      <c r="G32" s="15">
        <f>ROUND(IF(ISBLANK(Original!H32),'Base projeção'!G24*'Base projeção'!$A$16,Original!H32),0)</f>
        <v>0</v>
      </c>
      <c r="H32" s="15">
        <f>ROUND(IF(ISBLANK(Original!I32),'Base projeção'!H24*'Base projeção'!$A$16,Original!I32),0)</f>
        <v>0</v>
      </c>
      <c r="I32" s="15">
        <f>ROUND(IF(ISBLANK(Original!J32),'Base projeção'!I24*'Base projeção'!$A$16,Original!J32),0)</f>
        <v>0</v>
      </c>
      <c r="J32" s="15">
        <f>ROUND(IF(ISBLANK(Original!K32),'Base projeção'!J24*'Base projeção'!$A$16,Original!K32),0)</f>
        <v>0</v>
      </c>
      <c r="K32" s="15">
        <f>ROUND(IF(ISBLANK(Original!L32),'Base projeção'!K24*'Base projeção'!$A$16,Original!L32),0)</f>
        <v>0</v>
      </c>
      <c r="L32" s="15">
        <f>ROUND(IF(ISBLANK(Original!M32),'Base projeção'!L24*'Base projeção'!$A$16,Original!M32),0)</f>
        <v>1</v>
      </c>
      <c r="M32" s="15">
        <f>ROUND(IF(ISBLANK(Original!N32),'Base projeção'!M24*'Base projeção'!$A$16,Original!N32),0)</f>
        <v>0</v>
      </c>
      <c r="N32" s="15">
        <f>ROUND(IF(ISBLANK(Original!O32),'Base projeção'!N24*'Base projeção'!$A$16,Original!O32),0)</f>
        <v>0</v>
      </c>
      <c r="O32" s="15">
        <f>ROUND(IF(ISBLANK(Original!P32),'Base projeção'!O24*'Base projeção'!$A$16,Original!P32),0)</f>
        <v>0</v>
      </c>
      <c r="P32" s="15">
        <f>ROUND(IF(ISBLANK(Original!Q32),'Base projeção'!P24*'Base projeção'!$A$16,Original!Q32),0)</f>
        <v>0</v>
      </c>
      <c r="Q32" s="12">
        <f t="shared" si="7"/>
        <v>2</v>
      </c>
      <c r="R32" s="13">
        <f t="shared" si="8"/>
        <v>0.002512562814</v>
      </c>
    </row>
    <row r="33" ht="14.25" customHeight="1">
      <c r="A33" s="27"/>
      <c r="B33" s="28" t="s">
        <v>31</v>
      </c>
      <c r="C33" s="15">
        <f>ROUND(IF(ISBLANK(Original!D33),'Base projeção'!C25*'Base projeção'!$A$16,Original!D33),0)</f>
        <v>0</v>
      </c>
      <c r="D33" s="15">
        <f>ROUND(IF(ISBLANK(Original!E33),'Base projeção'!D25*'Base projeção'!$A$16,Original!E33),0)</f>
        <v>0</v>
      </c>
      <c r="E33" s="15">
        <f>ROUND(IF(ISBLANK(Original!F33),'Base projeção'!E25*'Base projeção'!$A$16,Original!F33),0)</f>
        <v>0</v>
      </c>
      <c r="F33" s="15">
        <f>ROUND(IF(ISBLANK(Original!G33),'Base projeção'!F25*'Base projeção'!$A$16,Original!G33),0)</f>
        <v>0</v>
      </c>
      <c r="G33" s="15">
        <f>ROUND(IF(ISBLANK(Original!H33),'Base projeção'!G25*'Base projeção'!$A$16,Original!H33),0)</f>
        <v>0</v>
      </c>
      <c r="H33" s="15">
        <f>ROUND(IF(ISBLANK(Original!I33),'Base projeção'!H25*'Base projeção'!$A$16,Original!I33),0)</f>
        <v>0</v>
      </c>
      <c r="I33" s="15">
        <f>ROUND(IF(ISBLANK(Original!J33),'Base projeção'!I25*'Base projeção'!$A$16,Original!J33),0)</f>
        <v>0</v>
      </c>
      <c r="J33" s="15">
        <f>ROUND(IF(ISBLANK(Original!K33),'Base projeção'!J25*'Base projeção'!$A$16,Original!K33),0)</f>
        <v>1</v>
      </c>
      <c r="K33" s="15">
        <f>ROUND(IF(ISBLANK(Original!L33),'Base projeção'!K25*'Base projeção'!$A$16,Original!L33),0)</f>
        <v>0</v>
      </c>
      <c r="L33" s="15">
        <f>ROUND(IF(ISBLANK(Original!M33),'Base projeção'!L25*'Base projeção'!$A$16,Original!M33),0)</f>
        <v>0</v>
      </c>
      <c r="M33" s="15">
        <f>ROUND(IF(ISBLANK(Original!N33),'Base projeção'!M25*'Base projeção'!$A$16,Original!N33),0)</f>
        <v>1</v>
      </c>
      <c r="N33" s="15">
        <f>ROUND(IF(ISBLANK(Original!O33),'Base projeção'!N25*'Base projeção'!$A$16,Original!O33),0)</f>
        <v>0</v>
      </c>
      <c r="O33" s="15">
        <f>ROUND(IF(ISBLANK(Original!P33),'Base projeção'!O25*'Base projeção'!$A$16,Original!P33),0)</f>
        <v>0</v>
      </c>
      <c r="P33" s="15">
        <f>ROUND(IF(ISBLANK(Original!Q33),'Base projeção'!P25*'Base projeção'!$A$16,Original!Q33),0)</f>
        <v>0</v>
      </c>
      <c r="Q33" s="12">
        <f t="shared" si="7"/>
        <v>2</v>
      </c>
      <c r="R33" s="13">
        <f t="shared" si="8"/>
        <v>0.002512562814</v>
      </c>
    </row>
    <row r="34" ht="14.25" customHeight="1">
      <c r="A34" s="27"/>
      <c r="B34" s="28" t="s">
        <v>32</v>
      </c>
      <c r="C34" s="19">
        <v>1.0</v>
      </c>
      <c r="D34" s="19">
        <v>3.0</v>
      </c>
      <c r="E34" s="19">
        <v>2.0</v>
      </c>
      <c r="F34" s="19">
        <v>5.0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2">
        <f t="shared" si="7"/>
        <v>11</v>
      </c>
      <c r="R34" s="13">
        <f t="shared" si="8"/>
        <v>0.01381909548</v>
      </c>
    </row>
    <row r="35" ht="14.25" customHeight="1">
      <c r="A35" s="27"/>
      <c r="B35" s="19" t="s">
        <v>33</v>
      </c>
      <c r="C35" s="19">
        <v>6.0</v>
      </c>
      <c r="D35" s="19">
        <v>4.0</v>
      </c>
      <c r="E35" s="19">
        <v>1.0</v>
      </c>
      <c r="F35" s="19">
        <v>2.0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12"/>
      <c r="R35" s="13"/>
    </row>
    <row r="36" ht="14.25" customHeight="1">
      <c r="A36" s="27"/>
      <c r="B36" s="28" t="s">
        <v>13</v>
      </c>
      <c r="C36" s="19">
        <v>1.0</v>
      </c>
      <c r="D36" s="19">
        <v>2.0</v>
      </c>
      <c r="E36" s="19">
        <v>4.0</v>
      </c>
      <c r="F36" s="19">
        <v>3.0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2">
        <f>SUM(C36:P36)</f>
        <v>10</v>
      </c>
      <c r="R36" s="13">
        <f>Q36/$Q$15</f>
        <v>0.01256281407</v>
      </c>
    </row>
    <row r="37" ht="14.25" customHeight="1">
      <c r="A37" s="27"/>
      <c r="B37" s="28" t="s">
        <v>34</v>
      </c>
      <c r="C37" s="19">
        <v>0.0</v>
      </c>
      <c r="D37" s="19">
        <v>0.0</v>
      </c>
      <c r="E37" s="19">
        <v>0.0</v>
      </c>
      <c r="F37" s="19">
        <v>1.0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2"/>
      <c r="R37" s="13"/>
    </row>
    <row r="38" ht="14.25" customHeight="1">
      <c r="A38" s="27"/>
      <c r="B38" s="28" t="s">
        <v>35</v>
      </c>
      <c r="C38" s="19">
        <v>7.0</v>
      </c>
      <c r="D38" s="19">
        <v>1.0</v>
      </c>
      <c r="E38" s="19">
        <v>6.0</v>
      </c>
      <c r="F38" s="19">
        <v>3.0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2">
        <f t="shared" ref="Q38:Q46" si="9">SUM(C38:P38)</f>
        <v>17</v>
      </c>
      <c r="R38" s="13">
        <f t="shared" ref="R38:R46" si="10">Q38/$Q$15</f>
        <v>0.02135678392</v>
      </c>
    </row>
    <row r="39" ht="14.25" customHeight="1">
      <c r="A39" s="27"/>
      <c r="B39" s="28" t="s">
        <v>36</v>
      </c>
      <c r="C39" s="19">
        <v>0.0</v>
      </c>
      <c r="D39" s="19">
        <v>0.0</v>
      </c>
      <c r="E39" s="19">
        <v>0.0</v>
      </c>
      <c r="F39" s="19">
        <v>0.0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2">
        <f t="shared" si="9"/>
        <v>0</v>
      </c>
      <c r="R39" s="13">
        <f t="shared" si="10"/>
        <v>0</v>
      </c>
    </row>
    <row r="40" ht="14.25" customHeight="1">
      <c r="A40" s="27"/>
      <c r="B40" s="19" t="s">
        <v>37</v>
      </c>
      <c r="C40" s="15">
        <v>2.0</v>
      </c>
      <c r="D40" s="15">
        <v>4.0</v>
      </c>
      <c r="E40" s="15">
        <v>10.0</v>
      </c>
      <c r="F40" s="15">
        <v>2.0</v>
      </c>
      <c r="G40" s="15"/>
      <c r="H40" s="34"/>
      <c r="I40" s="34"/>
      <c r="J40" s="34"/>
      <c r="K40" s="34"/>
      <c r="L40" s="34"/>
      <c r="M40" s="34"/>
      <c r="N40" s="34"/>
      <c r="O40" s="34"/>
      <c r="P40" s="34"/>
      <c r="Q40" s="12">
        <f t="shared" si="9"/>
        <v>18</v>
      </c>
      <c r="R40" s="13">
        <f t="shared" si="10"/>
        <v>0.02261306533</v>
      </c>
    </row>
    <row r="41" ht="14.25" customHeight="1">
      <c r="A41" s="27"/>
      <c r="B41" s="35" t="s">
        <v>38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2">
        <f t="shared" si="9"/>
        <v>0</v>
      </c>
      <c r="R41" s="13">
        <f t="shared" si="10"/>
        <v>0</v>
      </c>
    </row>
    <row r="42" ht="14.25" customHeight="1">
      <c r="A42" s="27"/>
      <c r="B42" s="35" t="s">
        <v>39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">
        <f t="shared" si="9"/>
        <v>0</v>
      </c>
      <c r="R42" s="13">
        <f t="shared" si="10"/>
        <v>0</v>
      </c>
    </row>
    <row r="43" ht="14.25" customHeight="1">
      <c r="A43" s="27"/>
      <c r="B43" s="35" t="s">
        <v>40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2">
        <f t="shared" si="9"/>
        <v>0</v>
      </c>
      <c r="R43" s="13">
        <f t="shared" si="10"/>
        <v>0</v>
      </c>
    </row>
    <row r="44" ht="14.25" customHeight="1">
      <c r="A44" s="27"/>
      <c r="B44" s="19" t="s">
        <v>41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2">
        <f t="shared" si="9"/>
        <v>0</v>
      </c>
      <c r="R44" s="13">
        <f t="shared" si="10"/>
        <v>0</v>
      </c>
    </row>
    <row r="45" ht="14.25" customHeight="1">
      <c r="A45" s="27"/>
      <c r="B45" s="19" t="s">
        <v>42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2">
        <f t="shared" si="9"/>
        <v>0</v>
      </c>
      <c r="R45" s="13">
        <f t="shared" si="10"/>
        <v>0</v>
      </c>
    </row>
    <row r="46" ht="14.25" customHeight="1">
      <c r="A46" s="27"/>
      <c r="B46" s="19" t="s">
        <v>43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2">
        <f t="shared" si="9"/>
        <v>0</v>
      </c>
      <c r="R46" s="13">
        <f t="shared" si="10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7" width="7.0"/>
    <col customWidth="1" min="18" max="18" width="8.75"/>
    <col customWidth="1" min="19" max="19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5.0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19</v>
      </c>
      <c r="S2" s="13" t="s">
        <v>20</v>
      </c>
    </row>
    <row r="3" ht="14.25" customHeight="1">
      <c r="A3" s="14" t="s">
        <v>21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>
        <f t="shared" ref="R3:R14" si="1">SUM(C3:Q3)</f>
        <v>0</v>
      </c>
      <c r="S3" s="17">
        <f t="shared" ref="S3:S14" si="2">R3/$R$15</f>
        <v>0</v>
      </c>
    </row>
    <row r="4" ht="14.25" customHeight="1">
      <c r="A4" s="18" t="s">
        <v>21</v>
      </c>
      <c r="B4" s="18" t="s">
        <v>22</v>
      </c>
      <c r="C4" s="15">
        <v>42.0</v>
      </c>
      <c r="D4" s="15">
        <v>69.0</v>
      </c>
      <c r="E4" s="15">
        <v>51.0</v>
      </c>
      <c r="F4" s="15">
        <v>59.0</v>
      </c>
      <c r="G4" s="15">
        <v>49.0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6">
        <f t="shared" si="1"/>
        <v>270</v>
      </c>
      <c r="S4" s="17">
        <f t="shared" si="2"/>
        <v>0.7142857143</v>
      </c>
    </row>
    <row r="5" ht="14.25" customHeight="1">
      <c r="A5" s="14" t="s">
        <v>21</v>
      </c>
      <c r="B5" s="14" t="s">
        <v>23</v>
      </c>
      <c r="C5" s="15">
        <v>0.0</v>
      </c>
      <c r="D5" s="15">
        <v>4.0</v>
      </c>
      <c r="E5" s="15">
        <v>2.0</v>
      </c>
      <c r="F5" s="15">
        <v>4.0</v>
      </c>
      <c r="G5" s="15">
        <v>1.0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6">
        <f t="shared" si="1"/>
        <v>11</v>
      </c>
      <c r="S5" s="17">
        <f t="shared" si="2"/>
        <v>0.0291005291</v>
      </c>
    </row>
    <row r="6" ht="14.25" customHeight="1">
      <c r="A6" s="18" t="s">
        <v>23</v>
      </c>
      <c r="B6" s="18" t="s">
        <v>21</v>
      </c>
      <c r="C6" s="15">
        <v>1.0</v>
      </c>
      <c r="D6" s="15">
        <v>2.0</v>
      </c>
      <c r="E6" s="15">
        <v>2.0</v>
      </c>
      <c r="F6" s="15">
        <v>2.0</v>
      </c>
      <c r="G6" s="15">
        <v>2.0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6">
        <f t="shared" si="1"/>
        <v>9</v>
      </c>
      <c r="S6" s="17">
        <f t="shared" si="2"/>
        <v>0.02380952381</v>
      </c>
    </row>
    <row r="7" ht="14.25" customHeight="1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>
        <f t="shared" si="1"/>
        <v>0</v>
      </c>
      <c r="S7" s="17">
        <f t="shared" si="2"/>
        <v>0</v>
      </c>
    </row>
    <row r="8" ht="14.25" customHeight="1">
      <c r="A8" s="18" t="s">
        <v>23</v>
      </c>
      <c r="B8" s="18" t="s">
        <v>22</v>
      </c>
      <c r="C8" s="15">
        <v>5.0</v>
      </c>
      <c r="D8" s="15">
        <v>11.0</v>
      </c>
      <c r="E8" s="15">
        <v>10.0</v>
      </c>
      <c r="F8" s="15">
        <v>14.0</v>
      </c>
      <c r="G8" s="15">
        <v>6.0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6">
        <f t="shared" si="1"/>
        <v>46</v>
      </c>
      <c r="S8" s="17">
        <f t="shared" si="2"/>
        <v>0.1216931217</v>
      </c>
    </row>
    <row r="9" ht="14.25" customHeight="1">
      <c r="A9" s="14" t="s">
        <v>22</v>
      </c>
      <c r="B9" s="14" t="s">
        <v>23</v>
      </c>
      <c r="C9" s="15">
        <v>2.0</v>
      </c>
      <c r="D9" s="15">
        <v>4.0</v>
      </c>
      <c r="E9" s="15">
        <v>2.0</v>
      </c>
      <c r="F9" s="15">
        <v>9.0</v>
      </c>
      <c r="G9" s="15">
        <v>4.0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6">
        <f t="shared" si="1"/>
        <v>21</v>
      </c>
      <c r="S9" s="17">
        <f t="shared" si="2"/>
        <v>0.05555555556</v>
      </c>
    </row>
    <row r="10" ht="14.25" customHeight="1">
      <c r="A10" s="18" t="s">
        <v>22</v>
      </c>
      <c r="B10" s="18" t="s">
        <v>21</v>
      </c>
      <c r="C10" s="15">
        <v>3.0</v>
      </c>
      <c r="D10" s="15">
        <v>12.0</v>
      </c>
      <c r="E10" s="15">
        <v>2.0</v>
      </c>
      <c r="F10" s="15">
        <v>3.0</v>
      </c>
      <c r="G10" s="15">
        <v>1.0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>
        <f t="shared" si="1"/>
        <v>21</v>
      </c>
      <c r="S10" s="17">
        <f t="shared" si="2"/>
        <v>0.05555555556</v>
      </c>
    </row>
    <row r="11" ht="14.25" customHeight="1">
      <c r="A11" s="19"/>
      <c r="B11" s="19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>
        <f t="shared" si="1"/>
        <v>0</v>
      </c>
      <c r="S11" s="17">
        <f t="shared" si="2"/>
        <v>0</v>
      </c>
    </row>
    <row r="12" ht="14.25" customHeight="1">
      <c r="A12" s="19"/>
      <c r="B12" s="1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>
        <f t="shared" si="1"/>
        <v>0</v>
      </c>
      <c r="S12" s="17">
        <f t="shared" si="2"/>
        <v>0</v>
      </c>
    </row>
    <row r="13" ht="14.25" customHeight="1">
      <c r="A13" s="19"/>
      <c r="B13" s="1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6">
        <f t="shared" si="1"/>
        <v>0</v>
      </c>
      <c r="S13" s="17">
        <f t="shared" si="2"/>
        <v>0</v>
      </c>
    </row>
    <row r="14" ht="14.25" customHeight="1">
      <c r="A14" s="19"/>
      <c r="B14" s="19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>
        <f t="shared" si="1"/>
        <v>0</v>
      </c>
      <c r="S14" s="17">
        <f t="shared" si="2"/>
        <v>0</v>
      </c>
    </row>
    <row r="15" ht="14.25" customHeight="1">
      <c r="A15" s="20"/>
      <c r="B15" s="20" t="s">
        <v>19</v>
      </c>
      <c r="C15" s="16">
        <f t="shared" ref="C15:R15" si="3">SUM(C$3:C$14)</f>
        <v>53</v>
      </c>
      <c r="D15" s="16">
        <f t="shared" si="3"/>
        <v>102</v>
      </c>
      <c r="E15" s="16">
        <f t="shared" si="3"/>
        <v>69</v>
      </c>
      <c r="F15" s="16">
        <f t="shared" si="3"/>
        <v>91</v>
      </c>
      <c r="G15" s="16">
        <f t="shared" si="3"/>
        <v>63</v>
      </c>
      <c r="H15" s="16">
        <f t="shared" si="3"/>
        <v>0</v>
      </c>
      <c r="I15" s="16">
        <f t="shared" si="3"/>
        <v>0</v>
      </c>
      <c r="J15" s="16">
        <f t="shared" si="3"/>
        <v>0</v>
      </c>
      <c r="K15" s="16">
        <f t="shared" si="3"/>
        <v>0</v>
      </c>
      <c r="L15" s="16">
        <f t="shared" si="3"/>
        <v>0</v>
      </c>
      <c r="M15" s="16">
        <f t="shared" si="3"/>
        <v>0</v>
      </c>
      <c r="N15" s="16">
        <f t="shared" si="3"/>
        <v>0</v>
      </c>
      <c r="O15" s="16">
        <f t="shared" si="3"/>
        <v>0</v>
      </c>
      <c r="P15" s="16">
        <f t="shared" si="3"/>
        <v>0</v>
      </c>
      <c r="Q15" s="16">
        <f t="shared" si="3"/>
        <v>0</v>
      </c>
      <c r="R15" s="16">
        <f t="shared" si="3"/>
        <v>378</v>
      </c>
      <c r="S15" s="17"/>
    </row>
    <row r="16" ht="13.5" customHeight="1">
      <c r="A16" s="21"/>
      <c r="B16" s="21" t="s">
        <v>25</v>
      </c>
      <c r="C16" s="22">
        <f t="shared" ref="C16:Q16" si="4">C15/$R$15</f>
        <v>0.1402116402</v>
      </c>
      <c r="D16" s="22">
        <f t="shared" si="4"/>
        <v>0.2698412698</v>
      </c>
      <c r="E16" s="22">
        <f t="shared" si="4"/>
        <v>0.1825396825</v>
      </c>
      <c r="F16" s="22">
        <f t="shared" si="4"/>
        <v>0.2407407407</v>
      </c>
      <c r="G16" s="22">
        <f t="shared" si="4"/>
        <v>0.1666666667</v>
      </c>
      <c r="H16" s="22">
        <f t="shared" si="4"/>
        <v>0</v>
      </c>
      <c r="I16" s="22">
        <f t="shared" si="4"/>
        <v>0</v>
      </c>
      <c r="J16" s="22">
        <f t="shared" si="4"/>
        <v>0</v>
      </c>
      <c r="K16" s="22">
        <f t="shared" si="4"/>
        <v>0</v>
      </c>
      <c r="L16" s="22">
        <f t="shared" si="4"/>
        <v>0</v>
      </c>
      <c r="M16" s="22">
        <f t="shared" si="4"/>
        <v>0</v>
      </c>
      <c r="N16" s="22">
        <f t="shared" si="4"/>
        <v>0</v>
      </c>
      <c r="O16" s="22">
        <f t="shared" si="4"/>
        <v>0</v>
      </c>
      <c r="P16" s="22">
        <f t="shared" si="4"/>
        <v>0</v>
      </c>
      <c r="Q16" s="22">
        <f t="shared" si="4"/>
        <v>0</v>
      </c>
      <c r="R16" s="22">
        <f>SUM(C16:Q16)</f>
        <v>1</v>
      </c>
      <c r="S16" s="17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</row>
    <row r="18" ht="12.0" customHeight="1">
      <c r="A18" s="9" t="s">
        <v>26</v>
      </c>
    </row>
    <row r="19" ht="12.0" customHeight="1">
      <c r="A19" s="26"/>
      <c r="B19" s="10" t="s">
        <v>27</v>
      </c>
      <c r="C19" s="11">
        <v>5.0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19</v>
      </c>
      <c r="S19" s="13" t="s">
        <v>20</v>
      </c>
    </row>
    <row r="20" ht="14.25" customHeight="1">
      <c r="A20" s="27"/>
      <c r="B20" s="28" t="s">
        <v>8</v>
      </c>
      <c r="C20" s="19">
        <v>3.0</v>
      </c>
      <c r="D20" s="19">
        <v>5.0</v>
      </c>
      <c r="E20" s="19">
        <v>3.0</v>
      </c>
      <c r="F20" s="19">
        <v>8.0</v>
      </c>
      <c r="G20" s="19">
        <v>4.0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2">
        <f t="shared" ref="R20:R22" si="5">SUM(C20:Q20)</f>
        <v>23</v>
      </c>
      <c r="S20" s="13">
        <f t="shared" ref="S20:S22" si="6">R20/$R$15</f>
        <v>0.06084656085</v>
      </c>
    </row>
    <row r="21" ht="14.25" customHeight="1">
      <c r="A21" s="27"/>
      <c r="B21" s="28" t="s">
        <v>9</v>
      </c>
      <c r="C21" s="19">
        <v>0.0</v>
      </c>
      <c r="D21" s="19">
        <v>4.0</v>
      </c>
      <c r="E21" s="19">
        <v>1.0</v>
      </c>
      <c r="F21" s="19">
        <v>0.0</v>
      </c>
      <c r="G21" s="19">
        <v>0.0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2">
        <f t="shared" si="5"/>
        <v>5</v>
      </c>
      <c r="S21" s="13">
        <f t="shared" si="6"/>
        <v>0.01322751323</v>
      </c>
    </row>
    <row r="22" ht="14.25" customHeight="1">
      <c r="A22" s="27"/>
      <c r="B22" s="28" t="s">
        <v>10</v>
      </c>
      <c r="C22" s="19">
        <v>9.0</v>
      </c>
      <c r="D22" s="19">
        <v>5.0</v>
      </c>
      <c r="E22" s="19">
        <v>10.0</v>
      </c>
      <c r="F22" s="19">
        <v>7.0</v>
      </c>
      <c r="G22" s="19">
        <v>8.0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2">
        <f t="shared" si="5"/>
        <v>39</v>
      </c>
      <c r="S22" s="13">
        <f t="shared" si="6"/>
        <v>0.1031746032</v>
      </c>
    </row>
    <row r="23" ht="14.25" customHeight="1">
      <c r="A23" s="27"/>
      <c r="B23" s="29" t="s">
        <v>11</v>
      </c>
      <c r="C23" s="36">
        <f t="shared" ref="C23:G23" si="7">SUM(C31:C33)</f>
        <v>2</v>
      </c>
      <c r="D23" s="36">
        <f t="shared" si="7"/>
        <v>0</v>
      </c>
      <c r="E23" s="36">
        <f t="shared" si="7"/>
        <v>3</v>
      </c>
      <c r="F23" s="36">
        <f t="shared" si="7"/>
        <v>0</v>
      </c>
      <c r="G23" s="36">
        <f t="shared" si="7"/>
        <v>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2"/>
      <c r="S23" s="13"/>
    </row>
    <row r="24" ht="14.25" customHeight="1">
      <c r="A24" s="27"/>
      <c r="B24" s="30" t="s">
        <v>12</v>
      </c>
      <c r="C24" s="37">
        <f t="shared" ref="C24:G24" si="8">SUM(C34:C35)</f>
        <v>4</v>
      </c>
      <c r="D24" s="37">
        <f t="shared" si="8"/>
        <v>7</v>
      </c>
      <c r="E24" s="37">
        <f t="shared" si="8"/>
        <v>7</v>
      </c>
      <c r="F24" s="37">
        <f t="shared" si="8"/>
        <v>3</v>
      </c>
      <c r="G24" s="37">
        <f t="shared" si="8"/>
        <v>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2"/>
      <c r="S24" s="13"/>
    </row>
    <row r="25" ht="14.25" customHeight="1">
      <c r="A25" s="27"/>
      <c r="B25" s="29" t="s">
        <v>13</v>
      </c>
      <c r="C25" s="36">
        <f t="shared" ref="C25:G25" si="9">SUM(C36:C37)</f>
        <v>0</v>
      </c>
      <c r="D25" s="36">
        <f t="shared" si="9"/>
        <v>1</v>
      </c>
      <c r="E25" s="36">
        <f t="shared" si="9"/>
        <v>2</v>
      </c>
      <c r="F25" s="36">
        <f t="shared" si="9"/>
        <v>4</v>
      </c>
      <c r="G25" s="36">
        <f t="shared" si="9"/>
        <v>4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2"/>
      <c r="S25" s="13"/>
    </row>
    <row r="26" ht="14.25" customHeight="1">
      <c r="A26" s="27"/>
      <c r="B26" s="30" t="s">
        <v>14</v>
      </c>
      <c r="C26" s="37">
        <f t="shared" ref="C26:G26" si="10">SUM(C38:C39)</f>
        <v>4</v>
      </c>
      <c r="D26" s="37">
        <f t="shared" si="10"/>
        <v>7</v>
      </c>
      <c r="E26" s="37">
        <f t="shared" si="10"/>
        <v>1</v>
      </c>
      <c r="F26" s="37">
        <f t="shared" si="10"/>
        <v>6</v>
      </c>
      <c r="G26" s="37">
        <f t="shared" si="10"/>
        <v>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2"/>
      <c r="S26" s="13"/>
    </row>
    <row r="27" ht="14.25" customHeight="1">
      <c r="A27" s="27"/>
      <c r="B27" s="28" t="s">
        <v>15</v>
      </c>
      <c r="C27" s="19">
        <v>3.0</v>
      </c>
      <c r="D27" s="19">
        <v>20.0</v>
      </c>
      <c r="E27" s="19">
        <v>37.0</v>
      </c>
      <c r="F27" s="19">
        <v>30.0</v>
      </c>
      <c r="G27" s="19">
        <v>15.0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2">
        <f>SUM(C27:Q27)</f>
        <v>105</v>
      </c>
      <c r="S27" s="13">
        <f>R27/$R$15</f>
        <v>0.2777777778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</row>
    <row r="29" ht="14.25" customHeight="1">
      <c r="A29" s="9" t="s">
        <v>28</v>
      </c>
    </row>
    <row r="30" ht="14.25" customHeight="1">
      <c r="A30" s="26"/>
      <c r="B30" s="10" t="s">
        <v>27</v>
      </c>
      <c r="C30" s="11">
        <v>5.0</v>
      </c>
      <c r="D30" s="11">
        <v>6.0</v>
      </c>
      <c r="E30" s="11">
        <v>7.0</v>
      </c>
      <c r="F30" s="11">
        <v>8.0</v>
      </c>
      <c r="G30" s="11">
        <v>9.0</v>
      </c>
      <c r="H30" s="11">
        <v>10.0</v>
      </c>
      <c r="I30" s="11">
        <v>11.0</v>
      </c>
      <c r="J30" s="11">
        <v>12.0</v>
      </c>
      <c r="K30" s="11">
        <v>13.0</v>
      </c>
      <c r="L30" s="11">
        <v>14.0</v>
      </c>
      <c r="M30" s="11">
        <v>15.0</v>
      </c>
      <c r="N30" s="11">
        <v>16.0</v>
      </c>
      <c r="O30" s="11">
        <v>17.0</v>
      </c>
      <c r="P30" s="11">
        <v>18.0</v>
      </c>
      <c r="Q30" s="11">
        <v>19.0</v>
      </c>
      <c r="R30" s="12" t="s">
        <v>19</v>
      </c>
      <c r="S30" s="13" t="s">
        <v>20</v>
      </c>
    </row>
    <row r="31" ht="14.25" customHeight="1">
      <c r="A31" s="27"/>
      <c r="B31" s="28" t="s">
        <v>29</v>
      </c>
      <c r="C31" s="19">
        <v>0.0</v>
      </c>
      <c r="D31" s="19">
        <v>0.0</v>
      </c>
      <c r="E31" s="19">
        <v>2.0</v>
      </c>
      <c r="F31" s="19">
        <v>0.0</v>
      </c>
      <c r="G31" s="19">
        <v>0.0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2">
        <f t="shared" ref="R31:R34" si="11">SUM(C31:Q31)</f>
        <v>2</v>
      </c>
      <c r="S31" s="13">
        <f t="shared" ref="S31:S34" si="12">R31/$R$15</f>
        <v>0.005291005291</v>
      </c>
    </row>
    <row r="32" ht="14.25" customHeight="1">
      <c r="A32" s="27"/>
      <c r="B32" s="28" t="s">
        <v>30</v>
      </c>
      <c r="C32" s="19">
        <v>2.0</v>
      </c>
      <c r="D32" s="19">
        <v>0.0</v>
      </c>
      <c r="E32" s="19">
        <v>1.0</v>
      </c>
      <c r="F32" s="19">
        <v>0.0</v>
      </c>
      <c r="G32" s="19">
        <v>0.0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2">
        <f t="shared" si="11"/>
        <v>3</v>
      </c>
      <c r="S32" s="13">
        <f t="shared" si="12"/>
        <v>0.007936507937</v>
      </c>
    </row>
    <row r="33" ht="14.25" customHeight="1">
      <c r="A33" s="27"/>
      <c r="B33" s="28" t="s">
        <v>31</v>
      </c>
      <c r="C33" s="19">
        <v>0.0</v>
      </c>
      <c r="D33" s="19">
        <v>0.0</v>
      </c>
      <c r="E33" s="19">
        <v>0.0</v>
      </c>
      <c r="F33" s="19">
        <v>0.0</v>
      </c>
      <c r="G33" s="19">
        <v>0.0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2">
        <f t="shared" si="11"/>
        <v>0</v>
      </c>
      <c r="S33" s="13">
        <f t="shared" si="12"/>
        <v>0</v>
      </c>
    </row>
    <row r="34" ht="14.25" customHeight="1">
      <c r="A34" s="27"/>
      <c r="B34" s="28" t="s">
        <v>32</v>
      </c>
      <c r="C34" s="19">
        <v>2.0</v>
      </c>
      <c r="D34" s="19">
        <v>1.0</v>
      </c>
      <c r="E34" s="19">
        <v>3.0</v>
      </c>
      <c r="F34" s="19">
        <v>2.0</v>
      </c>
      <c r="G34" s="19">
        <v>5.0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2">
        <f t="shared" si="11"/>
        <v>13</v>
      </c>
      <c r="S34" s="13">
        <f t="shared" si="12"/>
        <v>0.03439153439</v>
      </c>
    </row>
    <row r="35" ht="14.25" customHeight="1">
      <c r="A35" s="27"/>
      <c r="B35" s="19" t="s">
        <v>33</v>
      </c>
      <c r="C35" s="19">
        <v>2.0</v>
      </c>
      <c r="D35" s="19">
        <v>6.0</v>
      </c>
      <c r="E35" s="19">
        <v>4.0</v>
      </c>
      <c r="F35" s="19">
        <v>1.0</v>
      </c>
      <c r="G35" s="19">
        <v>2.0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12"/>
      <c r="S35" s="13"/>
    </row>
    <row r="36" ht="14.25" customHeight="1">
      <c r="A36" s="27"/>
      <c r="B36" s="28" t="s">
        <v>13</v>
      </c>
      <c r="C36" s="19">
        <v>0.0</v>
      </c>
      <c r="D36" s="19">
        <v>1.0</v>
      </c>
      <c r="E36" s="19">
        <v>2.0</v>
      </c>
      <c r="F36" s="19">
        <v>4.0</v>
      </c>
      <c r="G36" s="19">
        <v>3.0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2">
        <f>SUM(C36:Q36)</f>
        <v>10</v>
      </c>
      <c r="S36" s="13">
        <f>R36/$R$15</f>
        <v>0.02645502646</v>
      </c>
    </row>
    <row r="37" ht="14.25" customHeight="1">
      <c r="A37" s="27"/>
      <c r="B37" s="28" t="s">
        <v>34</v>
      </c>
      <c r="C37" s="19">
        <v>0.0</v>
      </c>
      <c r="D37" s="19">
        <v>0.0</v>
      </c>
      <c r="E37" s="19">
        <v>0.0</v>
      </c>
      <c r="F37" s="19">
        <v>0.0</v>
      </c>
      <c r="G37" s="19">
        <v>1.0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2"/>
      <c r="S37" s="13"/>
    </row>
    <row r="38" ht="14.25" customHeight="1">
      <c r="A38" s="27"/>
      <c r="B38" s="28" t="s">
        <v>35</v>
      </c>
      <c r="C38" s="19">
        <v>4.0</v>
      </c>
      <c r="D38" s="19">
        <v>7.0</v>
      </c>
      <c r="E38" s="19">
        <v>1.0</v>
      </c>
      <c r="F38" s="19">
        <v>6.0</v>
      </c>
      <c r="G38" s="19">
        <v>3.0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2">
        <f t="shared" ref="R38:R46" si="13">SUM(C38:Q38)</f>
        <v>21</v>
      </c>
      <c r="S38" s="13">
        <f t="shared" ref="S38:S46" si="14">R38/$R$15</f>
        <v>0.05555555556</v>
      </c>
    </row>
    <row r="39" ht="14.25" customHeight="1">
      <c r="A39" s="27"/>
      <c r="B39" s="28" t="s">
        <v>36</v>
      </c>
      <c r="C39" s="19">
        <v>0.0</v>
      </c>
      <c r="D39" s="19">
        <v>0.0</v>
      </c>
      <c r="E39" s="19">
        <v>0.0</v>
      </c>
      <c r="F39" s="19">
        <v>0.0</v>
      </c>
      <c r="G39" s="19">
        <v>0.0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2">
        <f t="shared" si="13"/>
        <v>0</v>
      </c>
      <c r="S39" s="13">
        <f t="shared" si="14"/>
        <v>0</v>
      </c>
    </row>
    <row r="40" ht="14.25" customHeight="1">
      <c r="A40" s="27"/>
      <c r="B40" s="19" t="s">
        <v>37</v>
      </c>
      <c r="C40" s="15">
        <v>0.0</v>
      </c>
      <c r="D40" s="15">
        <v>2.0</v>
      </c>
      <c r="E40" s="15">
        <v>4.0</v>
      </c>
      <c r="F40" s="15">
        <v>10.0</v>
      </c>
      <c r="G40" s="15">
        <v>2.0</v>
      </c>
      <c r="H40" s="15"/>
      <c r="I40" s="34"/>
      <c r="J40" s="34"/>
      <c r="K40" s="34"/>
      <c r="L40" s="34"/>
      <c r="M40" s="34"/>
      <c r="N40" s="34"/>
      <c r="O40" s="34"/>
      <c r="P40" s="34"/>
      <c r="Q40" s="34"/>
      <c r="R40" s="12">
        <f t="shared" si="13"/>
        <v>18</v>
      </c>
      <c r="S40" s="13">
        <f t="shared" si="14"/>
        <v>0.04761904762</v>
      </c>
    </row>
    <row r="41" ht="14.25" customHeight="1">
      <c r="A41" s="27"/>
      <c r="B41" s="35" t="s">
        <v>38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2">
        <f t="shared" si="13"/>
        <v>0</v>
      </c>
      <c r="S41" s="13">
        <f t="shared" si="14"/>
        <v>0</v>
      </c>
    </row>
    <row r="42" ht="14.25" customHeight="1">
      <c r="A42" s="27"/>
      <c r="B42" s="35" t="s">
        <v>39</v>
      </c>
      <c r="C42" s="15">
        <v>1.0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2">
        <f t="shared" si="13"/>
        <v>1</v>
      </c>
      <c r="S42" s="13">
        <f t="shared" si="14"/>
        <v>0.002645502646</v>
      </c>
    </row>
    <row r="43" ht="14.25" customHeight="1">
      <c r="A43" s="27"/>
      <c r="B43" s="35" t="s">
        <v>40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2">
        <f t="shared" si="13"/>
        <v>0</v>
      </c>
      <c r="S43" s="13">
        <f t="shared" si="14"/>
        <v>0</v>
      </c>
    </row>
    <row r="44" ht="14.25" customHeight="1">
      <c r="A44" s="27"/>
      <c r="B44" s="19" t="s">
        <v>41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2">
        <f t="shared" si="13"/>
        <v>0</v>
      </c>
      <c r="S44" s="13">
        <f t="shared" si="14"/>
        <v>0</v>
      </c>
    </row>
    <row r="45" ht="14.25" customHeight="1">
      <c r="A45" s="27"/>
      <c r="B45" s="19" t="s">
        <v>42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2">
        <f t="shared" si="13"/>
        <v>0</v>
      </c>
      <c r="S45" s="13">
        <f t="shared" si="14"/>
        <v>0</v>
      </c>
    </row>
    <row r="46" ht="14.25" customHeight="1">
      <c r="A46" s="27"/>
      <c r="B46" s="19" t="s">
        <v>43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2">
        <f t="shared" si="13"/>
        <v>0</v>
      </c>
      <c r="S46" s="13">
        <f t="shared" si="14"/>
        <v>0</v>
      </c>
    </row>
  </sheetData>
  <mergeCells count="3">
    <mergeCell ref="A1:S1"/>
    <mergeCell ref="A18:S18"/>
    <mergeCell ref="A29:S29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>
        <f t="shared" ref="Q3:Q14" si="1">SUM(C3:P3)</f>
        <v>0</v>
      </c>
      <c r="R3" s="17">
        <f t="shared" ref="R3:R14" si="2">Q3/$Q$15</f>
        <v>0</v>
      </c>
    </row>
    <row r="4" ht="14.25" customHeight="1">
      <c r="A4" s="18" t="s">
        <v>21</v>
      </c>
      <c r="B4" s="18" t="s">
        <v>22</v>
      </c>
      <c r="C4" s="38">
        <v>86.0</v>
      </c>
      <c r="D4" s="38">
        <v>77.0</v>
      </c>
      <c r="E4" s="38">
        <v>100.0</v>
      </c>
      <c r="F4" s="38">
        <v>21.0</v>
      </c>
      <c r="G4" s="38">
        <v>12.0</v>
      </c>
      <c r="H4" s="38">
        <v>22.0</v>
      </c>
      <c r="I4" s="38">
        <v>21.0</v>
      </c>
      <c r="J4" s="38">
        <v>17.0</v>
      </c>
      <c r="K4" s="38">
        <v>23.0</v>
      </c>
      <c r="L4" s="38">
        <v>18.0</v>
      </c>
      <c r="M4" s="38">
        <v>11.0</v>
      </c>
      <c r="N4" s="38">
        <v>37.0</v>
      </c>
      <c r="O4" s="38">
        <v>37.0</v>
      </c>
      <c r="P4" s="38">
        <v>23.0</v>
      </c>
      <c r="Q4" s="16">
        <f t="shared" si="1"/>
        <v>505</v>
      </c>
      <c r="R4" s="17">
        <f t="shared" si="2"/>
        <v>0.6352201258</v>
      </c>
    </row>
    <row r="5" ht="14.25" customHeight="1">
      <c r="A5" s="14" t="s">
        <v>21</v>
      </c>
      <c r="B5" s="14" t="s">
        <v>23</v>
      </c>
      <c r="C5" s="39">
        <v>1.0</v>
      </c>
      <c r="D5" s="39">
        <v>5.0</v>
      </c>
      <c r="E5" s="39">
        <v>3.0</v>
      </c>
      <c r="F5" s="39">
        <v>6.0</v>
      </c>
      <c r="G5" s="39">
        <v>1.0</v>
      </c>
      <c r="H5" s="39">
        <v>4.0</v>
      </c>
      <c r="I5" s="39">
        <v>3.0</v>
      </c>
      <c r="J5" s="39">
        <v>4.0</v>
      </c>
      <c r="K5" s="39">
        <v>1.0</v>
      </c>
      <c r="L5" s="39">
        <v>2.0</v>
      </c>
      <c r="M5" s="39">
        <v>1.0</v>
      </c>
      <c r="N5" s="39">
        <v>2.0</v>
      </c>
      <c r="O5" s="39">
        <v>0.0</v>
      </c>
      <c r="P5" s="39">
        <v>3.0</v>
      </c>
      <c r="Q5" s="16">
        <f t="shared" si="1"/>
        <v>36</v>
      </c>
      <c r="R5" s="17">
        <f t="shared" si="2"/>
        <v>0.04528301887</v>
      </c>
    </row>
    <row r="6" ht="14.25" customHeight="1">
      <c r="A6" s="18" t="s">
        <v>23</v>
      </c>
      <c r="B6" s="18" t="s">
        <v>21</v>
      </c>
      <c r="C6" s="38">
        <v>2.0</v>
      </c>
      <c r="D6" s="38">
        <v>0.0</v>
      </c>
      <c r="E6" s="38">
        <v>1.0</v>
      </c>
      <c r="F6" s="38">
        <v>2.0</v>
      </c>
      <c r="G6" s="38">
        <v>5.0</v>
      </c>
      <c r="H6" s="38">
        <v>0.0</v>
      </c>
      <c r="I6" s="38">
        <v>2.0</v>
      </c>
      <c r="J6" s="38">
        <v>1.0</v>
      </c>
      <c r="K6" s="38">
        <v>1.0</v>
      </c>
      <c r="L6" s="38">
        <v>0.0</v>
      </c>
      <c r="M6" s="38">
        <v>0.0</v>
      </c>
      <c r="N6" s="38">
        <v>5.0</v>
      </c>
      <c r="O6" s="38">
        <v>3.0</v>
      </c>
      <c r="P6" s="38">
        <v>3.0</v>
      </c>
      <c r="Q6" s="16">
        <f t="shared" si="1"/>
        <v>25</v>
      </c>
      <c r="R6" s="17">
        <f t="shared" si="2"/>
        <v>0.03144654088</v>
      </c>
    </row>
    <row r="7" ht="14.25" customHeight="1">
      <c r="A7" s="14"/>
      <c r="B7" s="14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16">
        <f t="shared" si="1"/>
        <v>0</v>
      </c>
      <c r="R7" s="17">
        <f t="shared" si="2"/>
        <v>0</v>
      </c>
    </row>
    <row r="8" ht="14.25" customHeight="1">
      <c r="A8" s="18" t="s">
        <v>23</v>
      </c>
      <c r="B8" s="18" t="s">
        <v>22</v>
      </c>
      <c r="C8" s="38">
        <v>6.0</v>
      </c>
      <c r="D8" s="38">
        <v>9.0</v>
      </c>
      <c r="E8" s="38">
        <v>3.0</v>
      </c>
      <c r="F8" s="38">
        <v>2.0</v>
      </c>
      <c r="G8" s="38">
        <v>9.0</v>
      </c>
      <c r="H8" s="38">
        <v>2.0</v>
      </c>
      <c r="I8" s="38">
        <v>9.0</v>
      </c>
      <c r="J8" s="38">
        <v>1.0</v>
      </c>
      <c r="K8" s="38">
        <v>10.0</v>
      </c>
      <c r="L8" s="38">
        <v>2.0</v>
      </c>
      <c r="M8" s="38">
        <v>9.0</v>
      </c>
      <c r="N8" s="38">
        <v>14.0</v>
      </c>
      <c r="O8" s="38">
        <v>10.0</v>
      </c>
      <c r="P8" s="38">
        <v>5.0</v>
      </c>
      <c r="Q8" s="16">
        <f t="shared" si="1"/>
        <v>91</v>
      </c>
      <c r="R8" s="17">
        <f t="shared" si="2"/>
        <v>0.1144654088</v>
      </c>
    </row>
    <row r="9" ht="14.25" customHeight="1">
      <c r="A9" s="14" t="s">
        <v>22</v>
      </c>
      <c r="B9" s="14" t="s">
        <v>23</v>
      </c>
      <c r="C9" s="39">
        <v>5.0</v>
      </c>
      <c r="D9" s="39">
        <v>0.0</v>
      </c>
      <c r="E9" s="39">
        <v>2.0</v>
      </c>
      <c r="F9" s="39">
        <v>3.0</v>
      </c>
      <c r="G9" s="39">
        <v>0.0</v>
      </c>
      <c r="H9" s="39">
        <v>3.0</v>
      </c>
      <c r="I9" s="39">
        <v>3.0</v>
      </c>
      <c r="J9" s="39">
        <v>2.0</v>
      </c>
      <c r="K9" s="39">
        <v>1.0</v>
      </c>
      <c r="L9" s="39">
        <v>1.0</v>
      </c>
      <c r="M9" s="39">
        <v>2.0</v>
      </c>
      <c r="N9" s="39">
        <v>3.0</v>
      </c>
      <c r="O9" s="39">
        <v>3.0</v>
      </c>
      <c r="P9" s="39">
        <v>2.0</v>
      </c>
      <c r="Q9" s="16">
        <f t="shared" si="1"/>
        <v>30</v>
      </c>
      <c r="R9" s="17">
        <f t="shared" si="2"/>
        <v>0.03773584906</v>
      </c>
    </row>
    <row r="10" ht="14.25" customHeight="1">
      <c r="A10" s="18" t="s">
        <v>22</v>
      </c>
      <c r="B10" s="18" t="s">
        <v>21</v>
      </c>
      <c r="C10" s="38">
        <v>6.0</v>
      </c>
      <c r="D10" s="38">
        <v>5.0</v>
      </c>
      <c r="E10" s="38">
        <v>6.0</v>
      </c>
      <c r="F10" s="38">
        <v>2.0</v>
      </c>
      <c r="G10" s="38">
        <v>5.0</v>
      </c>
      <c r="H10" s="38">
        <v>4.0</v>
      </c>
      <c r="I10" s="38">
        <v>10.0</v>
      </c>
      <c r="J10" s="38">
        <v>3.0</v>
      </c>
      <c r="K10" s="38">
        <v>8.0</v>
      </c>
      <c r="L10" s="38">
        <v>4.0</v>
      </c>
      <c r="M10" s="38">
        <v>10.0</v>
      </c>
      <c r="N10" s="38">
        <v>17.0</v>
      </c>
      <c r="O10" s="38">
        <v>11.0</v>
      </c>
      <c r="P10" s="38">
        <v>17.0</v>
      </c>
      <c r="Q10" s="16">
        <f t="shared" si="1"/>
        <v>108</v>
      </c>
      <c r="R10" s="17">
        <f t="shared" si="2"/>
        <v>0.1358490566</v>
      </c>
    </row>
    <row r="11" ht="14.25" customHeight="1">
      <c r="A11" s="19"/>
      <c r="B11" s="19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>
        <f t="shared" si="1"/>
        <v>0</v>
      </c>
      <c r="R11" s="17">
        <f t="shared" si="2"/>
        <v>0</v>
      </c>
    </row>
    <row r="12" ht="14.25" customHeight="1">
      <c r="A12" s="19"/>
      <c r="B12" s="1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>
        <f t="shared" si="1"/>
        <v>0</v>
      </c>
      <c r="R12" s="17">
        <f t="shared" si="2"/>
        <v>0</v>
      </c>
    </row>
    <row r="13" ht="14.25" customHeight="1">
      <c r="A13" s="19"/>
      <c r="B13" s="1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>
        <f t="shared" si="1"/>
        <v>0</v>
      </c>
      <c r="R13" s="17">
        <f t="shared" si="2"/>
        <v>0</v>
      </c>
    </row>
    <row r="14" ht="14.25" customHeight="1">
      <c r="A14" s="19"/>
      <c r="B14" s="19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>
        <f t="shared" si="1"/>
        <v>0</v>
      </c>
      <c r="R14" s="17">
        <f t="shared" si="2"/>
        <v>0</v>
      </c>
    </row>
    <row r="15" ht="14.25" customHeight="1">
      <c r="A15" s="10" t="s">
        <v>44</v>
      </c>
      <c r="B15" s="20" t="s">
        <v>19</v>
      </c>
      <c r="C15" s="16">
        <f t="shared" ref="C15:Q15" si="3">SUM(C$3:C$14)</f>
        <v>106</v>
      </c>
      <c r="D15" s="16">
        <f t="shared" si="3"/>
        <v>96</v>
      </c>
      <c r="E15" s="16">
        <f t="shared" si="3"/>
        <v>115</v>
      </c>
      <c r="F15" s="16">
        <f t="shared" si="3"/>
        <v>36</v>
      </c>
      <c r="G15" s="16">
        <f t="shared" si="3"/>
        <v>32</v>
      </c>
      <c r="H15" s="16">
        <f t="shared" si="3"/>
        <v>35</v>
      </c>
      <c r="I15" s="16">
        <f t="shared" si="3"/>
        <v>48</v>
      </c>
      <c r="J15" s="16">
        <f t="shared" si="3"/>
        <v>28</v>
      </c>
      <c r="K15" s="16">
        <f t="shared" si="3"/>
        <v>44</v>
      </c>
      <c r="L15" s="16">
        <f t="shared" si="3"/>
        <v>27</v>
      </c>
      <c r="M15" s="16">
        <f t="shared" si="3"/>
        <v>33</v>
      </c>
      <c r="N15" s="16">
        <f t="shared" si="3"/>
        <v>78</v>
      </c>
      <c r="O15" s="16">
        <f t="shared" si="3"/>
        <v>64</v>
      </c>
      <c r="P15" s="16">
        <f t="shared" si="3"/>
        <v>53</v>
      </c>
      <c r="Q15" s="16">
        <f t="shared" si="3"/>
        <v>795</v>
      </c>
      <c r="R15" s="17"/>
    </row>
    <row r="16" ht="13.5" customHeight="1">
      <c r="A16" s="21">
        <f>Original!R15/SUM(C15:F15)</f>
        <v>1.07082153</v>
      </c>
      <c r="B16" s="21" t="s">
        <v>25</v>
      </c>
      <c r="C16" s="22">
        <f t="shared" ref="C16:P16" si="4">C15/$Q$15</f>
        <v>0.1333333333</v>
      </c>
      <c r="D16" s="22">
        <f t="shared" si="4"/>
        <v>0.120754717</v>
      </c>
      <c r="E16" s="22">
        <f t="shared" si="4"/>
        <v>0.1446540881</v>
      </c>
      <c r="F16" s="22">
        <f t="shared" si="4"/>
        <v>0.04528301887</v>
      </c>
      <c r="G16" s="22">
        <f t="shared" si="4"/>
        <v>0.04025157233</v>
      </c>
      <c r="H16" s="22">
        <f t="shared" si="4"/>
        <v>0.04402515723</v>
      </c>
      <c r="I16" s="22">
        <f t="shared" si="4"/>
        <v>0.06037735849</v>
      </c>
      <c r="J16" s="22">
        <f t="shared" si="4"/>
        <v>0.03522012579</v>
      </c>
      <c r="K16" s="22">
        <f t="shared" si="4"/>
        <v>0.05534591195</v>
      </c>
      <c r="L16" s="22">
        <f t="shared" si="4"/>
        <v>0.03396226415</v>
      </c>
      <c r="M16" s="22">
        <f t="shared" si="4"/>
        <v>0.04150943396</v>
      </c>
      <c r="N16" s="22">
        <f t="shared" si="4"/>
        <v>0.09811320755</v>
      </c>
      <c r="O16" s="22">
        <f t="shared" si="4"/>
        <v>0.08050314465</v>
      </c>
      <c r="P16" s="22">
        <f t="shared" si="4"/>
        <v>0.06666666667</v>
      </c>
      <c r="Q16" s="22">
        <f>SUM(C16:P16)</f>
        <v>1</v>
      </c>
      <c r="R16" s="17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9" t="s">
        <v>26</v>
      </c>
    </row>
    <row r="19" ht="12.0" customHeight="1">
      <c r="A19" s="26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7"/>
      <c r="B20" s="28" t="s">
        <v>8</v>
      </c>
      <c r="C20" s="41">
        <v>5.0</v>
      </c>
      <c r="D20" s="41">
        <v>7.0</v>
      </c>
      <c r="E20" s="41">
        <v>4.0</v>
      </c>
      <c r="F20" s="41">
        <v>0.0</v>
      </c>
      <c r="G20" s="41">
        <v>1.0</v>
      </c>
      <c r="H20" s="41">
        <v>4.0</v>
      </c>
      <c r="I20" s="41">
        <v>1.0</v>
      </c>
      <c r="J20" s="41">
        <v>5.0</v>
      </c>
      <c r="K20" s="41">
        <v>7.0</v>
      </c>
      <c r="L20" s="41">
        <v>1.0</v>
      </c>
      <c r="M20" s="41">
        <v>2.0</v>
      </c>
      <c r="N20" s="41">
        <v>9.0</v>
      </c>
      <c r="O20" s="41">
        <v>2.0</v>
      </c>
      <c r="P20" s="41">
        <v>5.0</v>
      </c>
      <c r="Q20" s="12">
        <f t="shared" ref="Q20:Q26" si="5">SUM(C20:P20)</f>
        <v>53</v>
      </c>
      <c r="R20" s="13">
        <f t="shared" ref="R20:R26" si="6">Q20/$Q$15</f>
        <v>0.06666666667</v>
      </c>
    </row>
    <row r="21" ht="14.25" customHeight="1">
      <c r="A21" s="27"/>
      <c r="B21" s="28" t="s">
        <v>9</v>
      </c>
      <c r="C21" s="42">
        <v>4.0</v>
      </c>
      <c r="D21" s="42">
        <v>10.0</v>
      </c>
      <c r="E21" s="42">
        <v>0.0</v>
      </c>
      <c r="F21" s="42">
        <v>0.0</v>
      </c>
      <c r="G21" s="42">
        <v>0.0</v>
      </c>
      <c r="H21" s="42">
        <v>0.0</v>
      </c>
      <c r="I21" s="42">
        <v>9.0</v>
      </c>
      <c r="J21" s="42">
        <v>7.0</v>
      </c>
      <c r="K21" s="42">
        <v>4.0</v>
      </c>
      <c r="L21" s="42">
        <v>6.0</v>
      </c>
      <c r="M21" s="42">
        <v>1.0</v>
      </c>
      <c r="N21" s="42">
        <v>4.0</v>
      </c>
      <c r="O21" s="42">
        <v>2.0</v>
      </c>
      <c r="P21" s="42">
        <v>4.0</v>
      </c>
      <c r="Q21" s="12">
        <f t="shared" si="5"/>
        <v>51</v>
      </c>
      <c r="R21" s="13">
        <f t="shared" si="6"/>
        <v>0.0641509434</v>
      </c>
    </row>
    <row r="22" ht="14.25" customHeight="1">
      <c r="A22" s="27"/>
      <c r="B22" s="28" t="s">
        <v>10</v>
      </c>
      <c r="C22" s="41">
        <v>14.0</v>
      </c>
      <c r="D22" s="41">
        <v>20.0</v>
      </c>
      <c r="E22" s="41">
        <v>14.0</v>
      </c>
      <c r="F22" s="41">
        <v>6.0</v>
      </c>
      <c r="G22" s="41">
        <v>5.0</v>
      </c>
      <c r="H22" s="41">
        <v>7.0</v>
      </c>
      <c r="I22" s="41">
        <v>7.0</v>
      </c>
      <c r="J22" s="41">
        <v>3.0</v>
      </c>
      <c r="K22" s="41">
        <v>5.0</v>
      </c>
      <c r="L22" s="41">
        <v>4.0</v>
      </c>
      <c r="M22" s="41">
        <v>5.0</v>
      </c>
      <c r="N22" s="41">
        <v>17.0</v>
      </c>
      <c r="O22" s="41">
        <v>9.0</v>
      </c>
      <c r="P22" s="41">
        <v>17.0</v>
      </c>
      <c r="Q22" s="12">
        <f t="shared" si="5"/>
        <v>133</v>
      </c>
      <c r="R22" s="13">
        <f t="shared" si="6"/>
        <v>0.1672955975</v>
      </c>
    </row>
    <row r="23" ht="14.25" customHeight="1">
      <c r="A23" s="27"/>
      <c r="B23" s="28" t="s">
        <v>29</v>
      </c>
      <c r="C23" s="42">
        <v>0.0</v>
      </c>
      <c r="D23" s="42">
        <v>2.0</v>
      </c>
      <c r="E23" s="42">
        <v>1.0</v>
      </c>
      <c r="F23" s="42">
        <v>0.0</v>
      </c>
      <c r="G23" s="42">
        <v>1.0</v>
      </c>
      <c r="H23" s="42">
        <v>2.0</v>
      </c>
      <c r="I23" s="42">
        <v>2.0</v>
      </c>
      <c r="J23" s="42">
        <v>2.0</v>
      </c>
      <c r="K23" s="42">
        <v>1.0</v>
      </c>
      <c r="L23" s="42">
        <v>0.0</v>
      </c>
      <c r="M23" s="42">
        <v>0.0</v>
      </c>
      <c r="N23" s="42">
        <v>5.0</v>
      </c>
      <c r="O23" s="42">
        <v>0.0</v>
      </c>
      <c r="P23" s="42">
        <v>2.0</v>
      </c>
      <c r="Q23" s="12">
        <f t="shared" si="5"/>
        <v>18</v>
      </c>
      <c r="R23" s="13">
        <f t="shared" si="6"/>
        <v>0.02264150943</v>
      </c>
    </row>
    <row r="24" ht="14.25" customHeight="1">
      <c r="A24" s="27"/>
      <c r="B24" s="28" t="s">
        <v>30</v>
      </c>
      <c r="C24" s="41">
        <v>0.0</v>
      </c>
      <c r="D24" s="41">
        <v>3.0</v>
      </c>
      <c r="E24" s="41">
        <v>2.0</v>
      </c>
      <c r="F24" s="41">
        <v>1.0</v>
      </c>
      <c r="G24" s="41">
        <v>0.0</v>
      </c>
      <c r="H24" s="41">
        <v>0.0</v>
      </c>
      <c r="I24" s="41">
        <v>0.0</v>
      </c>
      <c r="J24" s="41">
        <v>0.0</v>
      </c>
      <c r="K24" s="41">
        <v>0.0</v>
      </c>
      <c r="L24" s="41">
        <v>1.0</v>
      </c>
      <c r="M24" s="41">
        <v>0.0</v>
      </c>
      <c r="N24" s="41">
        <v>0.0</v>
      </c>
      <c r="O24" s="41">
        <v>0.0</v>
      </c>
      <c r="P24" s="41">
        <v>0.0</v>
      </c>
      <c r="Q24" s="12">
        <f t="shared" si="5"/>
        <v>7</v>
      </c>
      <c r="R24" s="13">
        <f t="shared" si="6"/>
        <v>0.008805031447</v>
      </c>
    </row>
    <row r="25" ht="14.25" customHeight="1">
      <c r="A25" s="27"/>
      <c r="B25" s="28" t="s">
        <v>31</v>
      </c>
      <c r="C25" s="42">
        <v>0.0</v>
      </c>
      <c r="D25" s="42">
        <v>2.0</v>
      </c>
      <c r="E25" s="42">
        <v>0.0</v>
      </c>
      <c r="F25" s="42">
        <v>0.0</v>
      </c>
      <c r="G25" s="42">
        <v>0.0</v>
      </c>
      <c r="H25" s="42">
        <v>0.0</v>
      </c>
      <c r="I25" s="42">
        <v>0.0</v>
      </c>
      <c r="J25" s="42">
        <v>1.0</v>
      </c>
      <c r="K25" s="42">
        <v>0.0</v>
      </c>
      <c r="L25" s="42">
        <v>0.0</v>
      </c>
      <c r="M25" s="42">
        <v>1.0</v>
      </c>
      <c r="N25" s="42">
        <v>0.0</v>
      </c>
      <c r="O25" s="42">
        <v>0.0</v>
      </c>
      <c r="P25" s="42">
        <v>0.0</v>
      </c>
      <c r="Q25" s="12">
        <f t="shared" si="5"/>
        <v>4</v>
      </c>
      <c r="R25" s="13">
        <f t="shared" si="6"/>
        <v>0.005031446541</v>
      </c>
    </row>
    <row r="26" ht="14.25" customHeight="1">
      <c r="A26" s="27"/>
      <c r="B26" s="28" t="s">
        <v>32</v>
      </c>
      <c r="C26" s="41">
        <v>3.0</v>
      </c>
      <c r="D26" s="41">
        <v>2.0</v>
      </c>
      <c r="E26" s="41">
        <v>4.0</v>
      </c>
      <c r="F26" s="41">
        <v>5.0</v>
      </c>
      <c r="G26" s="41">
        <v>4.0</v>
      </c>
      <c r="H26" s="41">
        <v>3.0</v>
      </c>
      <c r="I26" s="41">
        <v>2.0</v>
      </c>
      <c r="J26" s="41">
        <v>1.0</v>
      </c>
      <c r="K26" s="41">
        <v>2.0</v>
      </c>
      <c r="L26" s="41">
        <v>6.0</v>
      </c>
      <c r="M26" s="41">
        <v>2.0</v>
      </c>
      <c r="N26" s="41">
        <v>2.0</v>
      </c>
      <c r="O26" s="41">
        <v>0.0</v>
      </c>
      <c r="P26" s="41">
        <v>1.0</v>
      </c>
      <c r="Q26" s="12">
        <f t="shared" si="5"/>
        <v>37</v>
      </c>
      <c r="R26" s="13">
        <f t="shared" si="6"/>
        <v>0.0465408805</v>
      </c>
    </row>
    <row r="27" ht="14.25" customHeight="1">
      <c r="A27" s="27"/>
      <c r="B27" s="19" t="s">
        <v>33</v>
      </c>
      <c r="C27" s="42">
        <v>5.0</v>
      </c>
      <c r="D27" s="42">
        <v>2.0</v>
      </c>
      <c r="E27" s="42">
        <v>1.0</v>
      </c>
      <c r="F27" s="42">
        <v>2.0</v>
      </c>
      <c r="G27" s="42">
        <v>4.0</v>
      </c>
      <c r="H27" s="42">
        <v>4.0</v>
      </c>
      <c r="I27" s="42">
        <v>3.0</v>
      </c>
      <c r="J27" s="42">
        <v>1.0</v>
      </c>
      <c r="K27" s="42">
        <v>2.0</v>
      </c>
      <c r="L27" s="42">
        <v>0.0</v>
      </c>
      <c r="M27" s="42">
        <v>2.0</v>
      </c>
      <c r="N27" s="42">
        <v>4.0</v>
      </c>
      <c r="O27" s="42">
        <v>1.0</v>
      </c>
      <c r="P27" s="42">
        <v>2.0</v>
      </c>
      <c r="Q27" s="12"/>
      <c r="R27" s="13"/>
    </row>
    <row r="28" ht="14.25" customHeight="1">
      <c r="A28" s="27"/>
      <c r="B28" s="28" t="s">
        <v>13</v>
      </c>
      <c r="C28" s="41">
        <v>3.0</v>
      </c>
      <c r="D28" s="41">
        <v>7.0</v>
      </c>
      <c r="E28" s="41">
        <v>1.0</v>
      </c>
      <c r="F28" s="41">
        <v>1.0</v>
      </c>
      <c r="G28" s="41">
        <v>4.0</v>
      </c>
      <c r="H28" s="41">
        <v>0.0</v>
      </c>
      <c r="I28" s="41">
        <v>2.0</v>
      </c>
      <c r="J28" s="41">
        <v>3.0</v>
      </c>
      <c r="K28" s="41">
        <v>3.0</v>
      </c>
      <c r="L28" s="41">
        <v>6.0</v>
      </c>
      <c r="M28" s="41">
        <v>4.0</v>
      </c>
      <c r="N28" s="41">
        <v>2.0</v>
      </c>
      <c r="O28" s="41">
        <v>0.0</v>
      </c>
      <c r="P28" s="41">
        <v>1.0</v>
      </c>
      <c r="Q28" s="12">
        <f>SUM(C28:P28)</f>
        <v>37</v>
      </c>
      <c r="R28" s="13">
        <f>Q28/$Q$15</f>
        <v>0.0465408805</v>
      </c>
    </row>
    <row r="29" ht="14.25" customHeight="1">
      <c r="A29" s="27"/>
      <c r="B29" s="28" t="s">
        <v>34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12"/>
      <c r="R29" s="13"/>
    </row>
    <row r="30" ht="14.25" customHeight="1">
      <c r="A30" s="27"/>
      <c r="B30" s="28" t="s">
        <v>35</v>
      </c>
      <c r="C30" s="42">
        <v>17.0</v>
      </c>
      <c r="D30" s="42">
        <v>7.0</v>
      </c>
      <c r="E30" s="42">
        <v>8.0</v>
      </c>
      <c r="F30" s="42">
        <v>14.0</v>
      </c>
      <c r="G30" s="42">
        <v>10.0</v>
      </c>
      <c r="H30" s="42">
        <v>7.0</v>
      </c>
      <c r="I30" s="42">
        <v>9.0</v>
      </c>
      <c r="J30" s="42">
        <v>7.0</v>
      </c>
      <c r="K30" s="42">
        <v>9.0</v>
      </c>
      <c r="L30" s="42">
        <v>5.0</v>
      </c>
      <c r="M30" s="42">
        <v>6.0</v>
      </c>
      <c r="N30" s="42">
        <v>20.0</v>
      </c>
      <c r="O30" s="42">
        <v>18.0</v>
      </c>
      <c r="P30" s="42">
        <v>22.0</v>
      </c>
      <c r="Q30" s="12">
        <f t="shared" ref="Q30:Q32" si="7">SUM(C30:P30)</f>
        <v>159</v>
      </c>
      <c r="R30" s="13">
        <f t="shared" ref="R30:R32" si="8">Q30/$Q$15</f>
        <v>0.2</v>
      </c>
    </row>
    <row r="31" ht="14.25" customHeight="1">
      <c r="A31" s="27"/>
      <c r="B31" s="28" t="s">
        <v>36</v>
      </c>
      <c r="C31" s="41">
        <v>0.0</v>
      </c>
      <c r="D31" s="41">
        <v>7.0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12">
        <f t="shared" si="7"/>
        <v>7</v>
      </c>
      <c r="R31" s="13">
        <f t="shared" si="8"/>
        <v>0.008805031447</v>
      </c>
    </row>
    <row r="32" ht="14.25" customHeight="1">
      <c r="A32" s="27"/>
      <c r="B32" s="28" t="s">
        <v>15</v>
      </c>
      <c r="C32" s="42">
        <v>14.0</v>
      </c>
      <c r="D32" s="42">
        <v>18.0</v>
      </c>
      <c r="E32" s="42">
        <v>14.0</v>
      </c>
      <c r="F32" s="42">
        <v>7.0</v>
      </c>
      <c r="G32" s="42">
        <v>1.0</v>
      </c>
      <c r="H32" s="42">
        <v>4.0</v>
      </c>
      <c r="I32" s="42">
        <v>4.0</v>
      </c>
      <c r="J32" s="42">
        <v>8.0</v>
      </c>
      <c r="K32" s="42">
        <v>3.0</v>
      </c>
      <c r="L32" s="42">
        <v>3.0</v>
      </c>
      <c r="M32" s="42">
        <v>4.0</v>
      </c>
      <c r="N32" s="42">
        <v>9.0</v>
      </c>
      <c r="O32" s="42">
        <v>13.0</v>
      </c>
      <c r="P32" s="42">
        <v>17.0</v>
      </c>
      <c r="Q32" s="12">
        <f t="shared" si="7"/>
        <v>119</v>
      </c>
      <c r="R32" s="13">
        <f t="shared" si="8"/>
        <v>0.1496855346</v>
      </c>
    </row>
    <row r="33" ht="14.25" customHeight="1">
      <c r="A33" s="31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</row>
    <row r="34" ht="14.25" customHeight="1">
      <c r="A34" s="9" t="s">
        <v>28</v>
      </c>
    </row>
    <row r="35" ht="14.25" customHeight="1">
      <c r="A35" s="26"/>
      <c r="B35" s="10" t="s">
        <v>27</v>
      </c>
      <c r="C35" s="11">
        <v>6.0</v>
      </c>
      <c r="D35" s="11">
        <v>7.0</v>
      </c>
      <c r="E35" s="11">
        <v>8.0</v>
      </c>
      <c r="F35" s="11">
        <v>9.0</v>
      </c>
      <c r="G35" s="11">
        <v>10.0</v>
      </c>
      <c r="H35" s="11">
        <v>11.0</v>
      </c>
      <c r="I35" s="11">
        <v>12.0</v>
      </c>
      <c r="J35" s="11">
        <v>13.0</v>
      </c>
      <c r="K35" s="11">
        <v>14.0</v>
      </c>
      <c r="L35" s="11">
        <v>15.0</v>
      </c>
      <c r="M35" s="11">
        <v>16.0</v>
      </c>
      <c r="N35" s="11">
        <v>17.0</v>
      </c>
      <c r="O35" s="11">
        <v>18.0</v>
      </c>
      <c r="P35" s="11">
        <v>19.0</v>
      </c>
      <c r="Q35" s="12" t="s">
        <v>19</v>
      </c>
      <c r="R35" s="13" t="s">
        <v>20</v>
      </c>
    </row>
    <row r="36" ht="14.25" customHeight="1">
      <c r="A36" s="27"/>
      <c r="B36" s="19" t="s">
        <v>37</v>
      </c>
      <c r="C36" s="43">
        <v>0.0</v>
      </c>
      <c r="D36" s="43">
        <v>0.0</v>
      </c>
      <c r="E36" s="43">
        <v>1.0</v>
      </c>
      <c r="F36" s="43">
        <v>0.0</v>
      </c>
      <c r="G36" s="43">
        <v>0.0</v>
      </c>
      <c r="H36" s="41">
        <v>0.0</v>
      </c>
      <c r="I36" s="41">
        <v>1.0</v>
      </c>
      <c r="J36" s="41">
        <v>0.0</v>
      </c>
      <c r="K36" s="41">
        <v>0.0</v>
      </c>
      <c r="L36" s="41">
        <v>0.0</v>
      </c>
      <c r="M36" s="41">
        <v>0.0</v>
      </c>
      <c r="N36" s="41">
        <v>1.0</v>
      </c>
      <c r="O36" s="41">
        <v>1.0</v>
      </c>
      <c r="P36" s="41">
        <v>1.0</v>
      </c>
      <c r="Q36" s="12">
        <f t="shared" ref="Q36:Q42" si="9">SUM(C36:P36)</f>
        <v>5</v>
      </c>
      <c r="R36" s="13">
        <f t="shared" ref="R36:R42" si="10">Q36/$Q$15</f>
        <v>0.006289308176</v>
      </c>
    </row>
    <row r="37" ht="14.25" customHeight="1">
      <c r="A37" s="27"/>
      <c r="B37" s="35" t="s">
        <v>38</v>
      </c>
      <c r="C37" s="44">
        <v>0.0</v>
      </c>
      <c r="D37" s="44">
        <v>0.0</v>
      </c>
      <c r="E37" s="44">
        <v>0.0</v>
      </c>
      <c r="F37" s="44">
        <v>0.0</v>
      </c>
      <c r="G37" s="44">
        <v>0.0</v>
      </c>
      <c r="H37" s="44">
        <v>0.0</v>
      </c>
      <c r="I37" s="44">
        <v>0.0</v>
      </c>
      <c r="J37" s="44">
        <v>0.0</v>
      </c>
      <c r="K37" s="44">
        <v>0.0</v>
      </c>
      <c r="L37" s="44">
        <v>0.0</v>
      </c>
      <c r="M37" s="44">
        <v>0.0</v>
      </c>
      <c r="N37" s="44">
        <v>0.0</v>
      </c>
      <c r="O37" s="44">
        <v>0.0</v>
      </c>
      <c r="P37" s="44">
        <v>1.0</v>
      </c>
      <c r="Q37" s="12">
        <f t="shared" si="9"/>
        <v>1</v>
      </c>
      <c r="R37" s="13">
        <f t="shared" si="10"/>
        <v>0.001257861635</v>
      </c>
    </row>
    <row r="38" ht="14.25" customHeight="1">
      <c r="A38" s="27"/>
      <c r="B38" s="35" t="s">
        <v>39</v>
      </c>
      <c r="C38" s="43">
        <v>1.0</v>
      </c>
      <c r="D38" s="43">
        <v>0.0</v>
      </c>
      <c r="E38" s="43">
        <v>0.0</v>
      </c>
      <c r="F38" s="43">
        <v>1.0</v>
      </c>
      <c r="G38" s="43">
        <v>0.0</v>
      </c>
      <c r="H38" s="43">
        <v>1.0</v>
      </c>
      <c r="I38" s="43">
        <v>0.0</v>
      </c>
      <c r="J38" s="43">
        <v>0.0</v>
      </c>
      <c r="K38" s="43">
        <v>0.0</v>
      </c>
      <c r="L38" s="43">
        <v>0.0</v>
      </c>
      <c r="M38" s="43">
        <v>0.0</v>
      </c>
      <c r="N38" s="43">
        <v>0.0</v>
      </c>
      <c r="O38" s="43">
        <v>0.0</v>
      </c>
      <c r="P38" s="43">
        <v>0.0</v>
      </c>
      <c r="Q38" s="12">
        <f t="shared" si="9"/>
        <v>3</v>
      </c>
      <c r="R38" s="13">
        <f t="shared" si="10"/>
        <v>0.003773584906</v>
      </c>
    </row>
    <row r="39" ht="14.25" customHeight="1">
      <c r="A39" s="27"/>
      <c r="B39" s="35" t="s">
        <v>40</v>
      </c>
      <c r="C39" s="44">
        <v>0.0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44">
        <v>0.0</v>
      </c>
      <c r="N39" s="44">
        <v>0.0</v>
      </c>
      <c r="O39" s="44">
        <v>0.0</v>
      </c>
      <c r="P39" s="44">
        <v>0.0</v>
      </c>
      <c r="Q39" s="12">
        <f t="shared" si="9"/>
        <v>0</v>
      </c>
      <c r="R39" s="13">
        <f t="shared" si="10"/>
        <v>0</v>
      </c>
    </row>
    <row r="40" ht="14.25" customHeight="1">
      <c r="A40" s="27"/>
      <c r="B40" s="19" t="s">
        <v>41</v>
      </c>
      <c r="C40" s="43">
        <v>0.0</v>
      </c>
      <c r="D40" s="43">
        <v>0.0</v>
      </c>
      <c r="E40" s="43">
        <v>0.0</v>
      </c>
      <c r="F40" s="43">
        <v>0.0</v>
      </c>
      <c r="G40" s="43">
        <v>0.0</v>
      </c>
      <c r="H40" s="43">
        <v>0.0</v>
      </c>
      <c r="I40" s="43">
        <v>0.0</v>
      </c>
      <c r="J40" s="43">
        <v>0.0</v>
      </c>
      <c r="K40" s="43">
        <v>0.0</v>
      </c>
      <c r="L40" s="43">
        <v>0.0</v>
      </c>
      <c r="M40" s="43">
        <v>0.0</v>
      </c>
      <c r="N40" s="43">
        <v>0.0</v>
      </c>
      <c r="O40" s="43">
        <v>0.0</v>
      </c>
      <c r="P40" s="43">
        <v>0.0</v>
      </c>
      <c r="Q40" s="12">
        <f t="shared" si="9"/>
        <v>0</v>
      </c>
      <c r="R40" s="13">
        <f t="shared" si="10"/>
        <v>0</v>
      </c>
    </row>
    <row r="41" ht="14.25" customHeight="1">
      <c r="A41" s="27"/>
      <c r="B41" s="19" t="s">
        <v>42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2">
        <f t="shared" si="9"/>
        <v>0</v>
      </c>
      <c r="R41" s="13">
        <f t="shared" si="10"/>
        <v>0</v>
      </c>
    </row>
    <row r="42" ht="14.25" customHeight="1">
      <c r="A42" s="27"/>
      <c r="B42" s="19" t="s">
        <v>43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">
        <f t="shared" si="9"/>
        <v>0</v>
      </c>
      <c r="R42" s="13">
        <f t="shared" si="10"/>
        <v>0</v>
      </c>
    </row>
  </sheetData>
  <mergeCells count="3">
    <mergeCell ref="A1:R1"/>
    <mergeCell ref="A18:R18"/>
    <mergeCell ref="A34:R34"/>
  </mergeCell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5" t="s">
        <v>45</v>
      </c>
    </row>
    <row r="2">
      <c r="A2" s="46" t="s">
        <v>46</v>
      </c>
      <c r="B2" s="47" t="str">
        <f>#REF!</f>
        <v>#REF!</v>
      </c>
      <c r="C2" s="47">
        <f>Dados!C2</f>
        <v>6</v>
      </c>
      <c r="D2" s="47">
        <f>Dados!D2</f>
        <v>7</v>
      </c>
      <c r="E2" s="47">
        <f>Dados!E2</f>
        <v>8</v>
      </c>
      <c r="F2" s="47">
        <f>Dados!F2</f>
        <v>9</v>
      </c>
      <c r="G2" s="47">
        <f>Dados!G2</f>
        <v>10</v>
      </c>
      <c r="H2" s="47">
        <f>Dados!H2</f>
        <v>11</v>
      </c>
      <c r="I2" s="47">
        <f>Dados!I2</f>
        <v>12</v>
      </c>
      <c r="J2" s="47">
        <f>Dados!J2</f>
        <v>13</v>
      </c>
      <c r="K2" s="47">
        <f>Dados!K2</f>
        <v>14</v>
      </c>
      <c r="L2" s="47">
        <f>Dados!L2</f>
        <v>15</v>
      </c>
      <c r="M2" s="47">
        <f>Dados!M2</f>
        <v>16</v>
      </c>
      <c r="N2" s="47">
        <f>Dados!N2</f>
        <v>17</v>
      </c>
      <c r="O2" s="47">
        <f>Dados!P2</f>
        <v>19</v>
      </c>
    </row>
    <row r="3">
      <c r="A3" s="48" t="s">
        <v>47</v>
      </c>
      <c r="B3" s="49" t="str">
        <f>#REF!-B4-B5</f>
        <v>#REF!</v>
      </c>
      <c r="C3" s="49">
        <f>Dados!C15-C4-C5</f>
        <v>92</v>
      </c>
      <c r="D3" s="49">
        <f>Dados!D15-D4-D5</f>
        <v>56</v>
      </c>
      <c r="E3" s="49">
        <f>Dados!E15-E4-E5</f>
        <v>76</v>
      </c>
      <c r="F3" s="49">
        <f>Dados!F15-F4-F5</f>
        <v>51</v>
      </c>
      <c r="G3" s="49">
        <f>Dados!G15-G4-G5</f>
        <v>28</v>
      </c>
      <c r="H3" s="49">
        <f>Dados!H15-H4-H5</f>
        <v>26</v>
      </c>
      <c r="I3" s="49">
        <f>Dados!I15-I4-I5</f>
        <v>43</v>
      </c>
      <c r="J3" s="49">
        <f>Dados!J15-J4-J5</f>
        <v>21</v>
      </c>
      <c r="K3" s="49">
        <f>Dados!K15-K4-K5</f>
        <v>36</v>
      </c>
      <c r="L3" s="49">
        <f>Dados!L15-L4-L5</f>
        <v>23</v>
      </c>
      <c r="M3" s="49">
        <f>Dados!M15-M4-M5</f>
        <v>29</v>
      </c>
      <c r="N3" s="49">
        <f>Dados!N15-N4-N5</f>
        <v>55</v>
      </c>
      <c r="O3" s="49">
        <f>Dados!P15-O4-O5</f>
        <v>33</v>
      </c>
    </row>
    <row r="4">
      <c r="A4" s="46" t="s">
        <v>48</v>
      </c>
      <c r="B4" s="47" t="str">
        <f t="shared" ref="B4:B5" si="1">#REF!</f>
        <v>#REF!</v>
      </c>
      <c r="C4" s="47">
        <f>Dados!C20</f>
        <v>5</v>
      </c>
      <c r="D4" s="47">
        <f>Dados!D20</f>
        <v>3</v>
      </c>
      <c r="E4" s="47">
        <f>Dados!E20</f>
        <v>8</v>
      </c>
      <c r="F4" s="47">
        <f>Dados!F20</f>
        <v>4</v>
      </c>
      <c r="G4" s="47">
        <f>Dados!G20</f>
        <v>1</v>
      </c>
      <c r="H4" s="47">
        <f>Dados!H20</f>
        <v>4</v>
      </c>
      <c r="I4" s="47">
        <f>Dados!I20</f>
        <v>1</v>
      </c>
      <c r="J4" s="47">
        <f>Dados!J20</f>
        <v>5</v>
      </c>
      <c r="K4" s="47">
        <f>Dados!K20</f>
        <v>7</v>
      </c>
      <c r="L4" s="47">
        <f>Dados!L20</f>
        <v>1</v>
      </c>
      <c r="M4" s="47">
        <f>Dados!M20</f>
        <v>2</v>
      </c>
      <c r="N4" s="47">
        <f>Dados!N20</f>
        <v>10</v>
      </c>
      <c r="O4" s="47">
        <f>Dados!P20</f>
        <v>5</v>
      </c>
    </row>
    <row r="5">
      <c r="A5" s="48" t="s">
        <v>9</v>
      </c>
      <c r="B5" s="49" t="str">
        <f t="shared" si="1"/>
        <v>#REF!</v>
      </c>
      <c r="C5" s="49">
        <f>Dados!C22</f>
        <v>5</v>
      </c>
      <c r="D5" s="49">
        <f>Dados!D22</f>
        <v>10</v>
      </c>
      <c r="E5" s="49">
        <f>Dados!E22</f>
        <v>7</v>
      </c>
      <c r="F5" s="49">
        <f>Dados!F22</f>
        <v>8</v>
      </c>
      <c r="G5" s="49">
        <f>Dados!G22</f>
        <v>5</v>
      </c>
      <c r="H5" s="49">
        <f>Dados!H22</f>
        <v>7</v>
      </c>
      <c r="I5" s="49">
        <f>Dados!I22</f>
        <v>7</v>
      </c>
      <c r="J5" s="49">
        <f>Dados!J22</f>
        <v>3</v>
      </c>
      <c r="K5" s="49">
        <f>Dados!K22</f>
        <v>5</v>
      </c>
      <c r="L5" s="49">
        <f>Dados!L22</f>
        <v>4</v>
      </c>
      <c r="M5" s="49">
        <f>Dados!M22</f>
        <v>5</v>
      </c>
      <c r="N5" s="49">
        <f>Dados!N22</f>
        <v>18</v>
      </c>
      <c r="O5" s="49">
        <f>Dados!P22</f>
        <v>18</v>
      </c>
    </row>
    <row r="7">
      <c r="A7" s="50" t="s">
        <v>49</v>
      </c>
    </row>
    <row r="8">
      <c r="A8" s="51" t="s">
        <v>50</v>
      </c>
      <c r="B8" s="47">
        <v>6.0</v>
      </c>
      <c r="C8" s="47">
        <v>7.0</v>
      </c>
      <c r="D8" s="47">
        <v>8.0</v>
      </c>
      <c r="E8" s="47">
        <v>9.0</v>
      </c>
      <c r="F8" s="47">
        <v>10.0</v>
      </c>
      <c r="G8" s="47">
        <v>11.0</v>
      </c>
      <c r="H8" s="47">
        <v>12.0</v>
      </c>
      <c r="I8" s="47">
        <v>13.0</v>
      </c>
      <c r="J8" s="47">
        <v>14.0</v>
      </c>
      <c r="K8" s="47">
        <v>15.0</v>
      </c>
      <c r="L8" s="47">
        <v>16.0</v>
      </c>
      <c r="M8" s="47">
        <v>17.0</v>
      </c>
      <c r="N8" s="47">
        <v>18.0</v>
      </c>
      <c r="O8" s="47">
        <v>19.0</v>
      </c>
    </row>
    <row r="9">
      <c r="A9" s="52" t="s">
        <v>48</v>
      </c>
      <c r="B9" s="53" t="str">
        <f t="shared" ref="B9:B10" si="2">B4/#REF!</f>
        <v>#REF!</v>
      </c>
      <c r="C9" s="53">
        <f>C4/Dados!C$15</f>
        <v>0.04901960784</v>
      </c>
      <c r="D9" s="53">
        <f>D4/Dados!D$15</f>
        <v>0.04347826087</v>
      </c>
      <c r="E9" s="53">
        <f>E4/Dados!E$15</f>
        <v>0.08791208791</v>
      </c>
      <c r="F9" s="53">
        <f>F4/Dados!F$15</f>
        <v>0.06349206349</v>
      </c>
      <c r="G9" s="53">
        <f>G4/Dados!G$15</f>
        <v>0.02941176471</v>
      </c>
      <c r="H9" s="53">
        <f>H4/Dados!H$15</f>
        <v>0.1081081081</v>
      </c>
      <c r="I9" s="53">
        <f>I4/Dados!I$15</f>
        <v>0.01960784314</v>
      </c>
      <c r="J9" s="53">
        <f>J4/Dados!J$15</f>
        <v>0.1724137931</v>
      </c>
      <c r="K9" s="53">
        <f>K4/Dados!K$15</f>
        <v>0.1458333333</v>
      </c>
      <c r="L9" s="53">
        <f>L4/Dados!L$15</f>
        <v>0.03571428571</v>
      </c>
      <c r="M9" s="53">
        <f>M4/Dados!M$15</f>
        <v>0.05555555556</v>
      </c>
      <c r="N9" s="53">
        <f>N4/Dados!N$15</f>
        <v>0.1204819277</v>
      </c>
      <c r="O9" s="53">
        <f>O4/Dados!P$15</f>
        <v>0.08928571429</v>
      </c>
    </row>
    <row r="10">
      <c r="A10" s="51" t="s">
        <v>9</v>
      </c>
      <c r="B10" s="54" t="str">
        <f t="shared" si="2"/>
        <v>#REF!</v>
      </c>
      <c r="C10" s="54">
        <f>C5/Dados!C$15</f>
        <v>0.04901960784</v>
      </c>
      <c r="D10" s="54">
        <f>D5/Dados!D$15</f>
        <v>0.1449275362</v>
      </c>
      <c r="E10" s="54">
        <f>E5/Dados!E$15</f>
        <v>0.07692307692</v>
      </c>
      <c r="F10" s="54">
        <f>F5/Dados!F$15</f>
        <v>0.126984127</v>
      </c>
      <c r="G10" s="54">
        <f>G5/Dados!G$15</f>
        <v>0.1470588235</v>
      </c>
      <c r="H10" s="54">
        <f>H5/Dados!H$15</f>
        <v>0.1891891892</v>
      </c>
      <c r="I10" s="54">
        <f>I5/Dados!I$15</f>
        <v>0.137254902</v>
      </c>
      <c r="J10" s="54">
        <f>J5/Dados!J$15</f>
        <v>0.1034482759</v>
      </c>
      <c r="K10" s="54">
        <f>K5/Dados!K$15</f>
        <v>0.1041666667</v>
      </c>
      <c r="L10" s="54">
        <f>L5/Dados!L$15</f>
        <v>0.1428571429</v>
      </c>
      <c r="M10" s="54">
        <f>M5/Dados!M$15</f>
        <v>0.1388888889</v>
      </c>
      <c r="N10" s="54">
        <f>N5/Dados!N$15</f>
        <v>0.2168674699</v>
      </c>
      <c r="O10" s="54">
        <f>O5/Dados!P$15</f>
        <v>0.3214285714</v>
      </c>
    </row>
    <row r="12">
      <c r="A12" s="55" t="str">
        <f>Dados!B19</f>
        <v>Característica</v>
      </c>
      <c r="B12" s="56" t="str">
        <f>Dados!R19</f>
        <v>%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>
      <c r="A13" s="55" t="str">
        <f>Dados!B20</f>
        <v>Mulher</v>
      </c>
      <c r="B13" s="56">
        <f>Dados!R20</f>
        <v>0.07286432161</v>
      </c>
    </row>
    <row r="14">
      <c r="A14" s="55" t="str">
        <f>Dados!B22</f>
        <v>Crianças e adolescentes</v>
      </c>
      <c r="B14" s="56">
        <f>Dados!R22</f>
        <v>0.1407035176</v>
      </c>
    </row>
    <row r="15">
      <c r="A15" s="55" t="str">
        <f>Dados!B21</f>
        <v>Capacete</v>
      </c>
      <c r="B15" s="56">
        <f>Dados!R21</f>
        <v>0.0540201005</v>
      </c>
    </row>
    <row r="16">
      <c r="A16" s="55" t="s">
        <v>11</v>
      </c>
      <c r="B16" s="56">
        <f>SUM(Dados!R31:R33)</f>
        <v>0.02638190955</v>
      </c>
    </row>
    <row r="17">
      <c r="A17" s="55" t="str">
        <f>Dados!B34</f>
        <v>Cargueira</v>
      </c>
      <c r="B17" s="56">
        <f>Dados!R34</f>
        <v>0.01381909548</v>
      </c>
    </row>
    <row r="18">
      <c r="A18" s="55" t="str">
        <f>Dados!B36</f>
        <v>Serviço</v>
      </c>
      <c r="B18" s="56">
        <f>Dados!R36</f>
        <v>0.01256281407</v>
      </c>
    </row>
    <row r="19">
      <c r="A19" s="55" t="str">
        <f>Dados!B38</f>
        <v>Contramao</v>
      </c>
      <c r="B19" s="56">
        <f>Dados!R38</f>
        <v>0.02135678392</v>
      </c>
    </row>
    <row r="20">
      <c r="A20" s="55" t="str">
        <f>Dados!B27</f>
        <v>Calçada</v>
      </c>
      <c r="B20" s="56">
        <f>Dados!R27</f>
        <v>0.1570351759</v>
      </c>
    </row>
    <row r="21">
      <c r="A21" s="57"/>
      <c r="B21" s="57"/>
    </row>
    <row r="22">
      <c r="A22" s="57"/>
      <c r="B22" s="57"/>
    </row>
    <row r="23">
      <c r="A23" s="57"/>
      <c r="B23" s="57"/>
    </row>
    <row r="24">
      <c r="A24" s="57"/>
      <c r="B24" s="57"/>
    </row>
    <row r="25">
      <c r="A25" s="57"/>
      <c r="B25" s="57"/>
    </row>
    <row r="26">
      <c r="A26" s="57"/>
      <c r="B26" s="57"/>
    </row>
    <row r="27">
      <c r="A27" s="57"/>
      <c r="B27" s="57"/>
    </row>
    <row r="28">
      <c r="A28" s="57"/>
      <c r="B28" s="57"/>
    </row>
    <row r="29">
      <c r="A29" s="57"/>
      <c r="B29" s="57"/>
    </row>
  </sheetData>
  <mergeCells count="2">
    <mergeCell ref="A1:O1"/>
    <mergeCell ref="A7:O7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58" t="str">
        <f>Fluxo!A2</f>
        <v>TOTAL</v>
      </c>
      <c r="F1" s="58">
        <v>2.0</v>
      </c>
      <c r="G1" t="str">
        <f t="array" ref="G1:G18">TRANSPOSE(Dados!2:2)</f>
        <v>ORIGEM</v>
      </c>
    </row>
    <row r="2">
      <c r="F2" s="58">
        <v>3.0</v>
      </c>
      <c r="G2" t="s">
        <v>18</v>
      </c>
    </row>
    <row r="3">
      <c r="A3" t="str">
        <f>Dados!A3</f>
        <v>Jaqueira</v>
      </c>
      <c r="B3" t="str">
        <f>Dados!B3</f>
        <v/>
      </c>
      <c r="F3" s="58">
        <v>4.0</v>
      </c>
      <c r="G3">
        <v>6.0</v>
      </c>
      <c r="Q3">
        <f>HLOOKUP($A$1,Dados!$C$2:$R$14,F1,0)</f>
        <v>0</v>
      </c>
    </row>
    <row r="4">
      <c r="A4" t="str">
        <f>Dados!A4</f>
        <v>Jaqueira</v>
      </c>
      <c r="B4" t="str">
        <f>Dados!B4</f>
        <v>Graças</v>
      </c>
      <c r="F4" s="58">
        <v>5.0</v>
      </c>
      <c r="G4">
        <v>7.0</v>
      </c>
      <c r="Q4">
        <f>HLOOKUP($A$1,Dados!$C$2:$R$14,F2,0)</f>
        <v>466</v>
      </c>
    </row>
    <row r="5">
      <c r="A5" t="str">
        <f>Dados!A5</f>
        <v>Jaqueira</v>
      </c>
      <c r="B5" t="str">
        <f>Dados!B5</f>
        <v>Rosarinho</v>
      </c>
      <c r="F5" s="58">
        <v>6.0</v>
      </c>
      <c r="G5">
        <v>8.0</v>
      </c>
      <c r="Q5">
        <f>HLOOKUP($A$1,Dados!$C$2:$R$14,F3,0)</f>
        <v>32</v>
      </c>
    </row>
    <row r="6">
      <c r="A6" t="str">
        <f>Dados!A6</f>
        <v>Rosarinho</v>
      </c>
      <c r="B6" t="str">
        <f>Dados!B6</f>
        <v>Jaqueira</v>
      </c>
      <c r="F6" s="58">
        <v>7.0</v>
      </c>
      <c r="G6">
        <v>9.0</v>
      </c>
      <c r="Q6">
        <f>HLOOKUP($A$1,Dados!$C$2:$R$14,F4,0)</f>
        <v>28</v>
      </c>
    </row>
    <row r="7">
      <c r="A7" t="str">
        <f>Dados!A7</f>
        <v>Rosarinho</v>
      </c>
      <c r="B7" t="str">
        <f>Dados!B7</f>
        <v/>
      </c>
      <c r="F7" s="58">
        <v>8.0</v>
      </c>
      <c r="G7">
        <v>10.0</v>
      </c>
      <c r="Q7">
        <f>HLOOKUP($A$1,Dados!$C$2:$R$14,F5,0)</f>
        <v>0</v>
      </c>
    </row>
    <row r="8">
      <c r="A8" t="str">
        <f>Dados!A8</f>
        <v>Rosarinho</v>
      </c>
      <c r="B8" t="str">
        <f>Dados!B8</f>
        <v>Graças</v>
      </c>
      <c r="F8" s="58">
        <v>9.0</v>
      </c>
      <c r="G8">
        <v>11.0</v>
      </c>
      <c r="Q8">
        <f>HLOOKUP($A$1,Dados!$C$2:$R$14,F6,0)</f>
        <v>118</v>
      </c>
    </row>
    <row r="9">
      <c r="A9" t="str">
        <f>Dados!A9</f>
        <v>Graças</v>
      </c>
      <c r="B9" t="str">
        <f>Dados!B9</f>
        <v>Rosarinho</v>
      </c>
      <c r="F9" s="58">
        <v>10.0</v>
      </c>
      <c r="G9">
        <v>12.0</v>
      </c>
      <c r="Q9">
        <f>HLOOKUP($A$1,Dados!$C$2:$R$14,F7,0)</f>
        <v>39</v>
      </c>
    </row>
    <row r="10">
      <c r="A10" t="str">
        <f>Dados!A10</f>
        <v>Graças</v>
      </c>
      <c r="B10" t="str">
        <f>Dados!B10</f>
        <v>Jaqueira</v>
      </c>
      <c r="F10" s="58">
        <v>11.0</v>
      </c>
      <c r="G10">
        <v>13.0</v>
      </c>
      <c r="Q10">
        <f>HLOOKUP($A$1,Dados!$C$2:$R$14,F8,0)</f>
        <v>113</v>
      </c>
    </row>
    <row r="11">
      <c r="A11" t="str">
        <f>Dados!A11</f>
        <v>Graças</v>
      </c>
      <c r="B11" t="str">
        <f>Dados!B11</f>
        <v/>
      </c>
      <c r="F11" s="58">
        <v>12.0</v>
      </c>
      <c r="G11">
        <v>14.0</v>
      </c>
      <c r="Q11">
        <f>HLOOKUP($A$1,Dados!$C$2:$R$14,F9,0)</f>
        <v>0</v>
      </c>
    </row>
    <row r="12">
      <c r="A12" t="str">
        <f>Dados!A12</f>
        <v>Torre</v>
      </c>
      <c r="B12" t="str">
        <f>Dados!B12</f>
        <v/>
      </c>
      <c r="F12" s="58">
        <v>13.0</v>
      </c>
      <c r="G12">
        <v>15.0</v>
      </c>
      <c r="Q12">
        <f>HLOOKUP($A$1,Dados!$C$2:$R$14,F10,0)</f>
        <v>0</v>
      </c>
    </row>
    <row r="13">
      <c r="A13" t="str">
        <f>Dados!A13</f>
        <v>Torre</v>
      </c>
      <c r="B13" t="str">
        <f>Dados!B13</f>
        <v/>
      </c>
      <c r="G13">
        <v>16.0</v>
      </c>
      <c r="Q13">
        <f>HLOOKUP($A$1,Dados!$C$2:$R$14,F11,0)</f>
        <v>0</v>
      </c>
    </row>
    <row r="14">
      <c r="A14" t="str">
        <f>Dados!A14</f>
        <v>Torre</v>
      </c>
      <c r="B14" t="str">
        <f>Dados!B14</f>
        <v/>
      </c>
      <c r="G14">
        <v>17.0</v>
      </c>
      <c r="Q14">
        <f>HLOOKUP($A$1,Dados!$C$2:$R$14,F12,0)</f>
        <v>0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59" t="s">
        <v>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0" t="s">
        <v>51</v>
      </c>
      <c r="B1" s="61"/>
      <c r="C1" s="62"/>
      <c r="D1" s="63"/>
      <c r="E1" s="64" t="str">
        <f>UPPER(CONFFLUXO!A3)</f>
        <v>JAQUEIRA</v>
      </c>
      <c r="F1" s="61"/>
      <c r="G1" s="62"/>
      <c r="H1" s="65"/>
      <c r="I1" s="65"/>
      <c r="J1" s="65"/>
      <c r="K1" s="65"/>
    </row>
    <row r="2" ht="22.5" customHeight="1">
      <c r="A2" s="60" t="s">
        <v>19</v>
      </c>
      <c r="B2" s="61"/>
      <c r="C2" s="62"/>
      <c r="D2" s="63"/>
      <c r="E2" s="66">
        <f>SUM(E3:G3)</f>
        <v>498</v>
      </c>
      <c r="F2" s="61"/>
      <c r="G2" s="62"/>
      <c r="H2" s="65"/>
      <c r="I2" s="65"/>
      <c r="J2" s="65"/>
      <c r="K2" s="65"/>
    </row>
    <row r="3" ht="22.5" customHeight="1">
      <c r="A3" s="67"/>
      <c r="B3" s="67"/>
      <c r="C3" s="67"/>
      <c r="D3" s="68"/>
      <c r="E3" s="69">
        <f>CONFFLUXO!Q3</f>
        <v>0</v>
      </c>
      <c r="F3" s="69">
        <f>CONFFLUXO!Q4</f>
        <v>466</v>
      </c>
      <c r="G3" s="69">
        <f>CONFFLUXO!Q5</f>
        <v>32</v>
      </c>
      <c r="H3" s="65"/>
      <c r="I3" s="65"/>
      <c r="J3" s="65"/>
      <c r="K3" s="65"/>
    </row>
    <row r="4" ht="25.5" customHeight="1">
      <c r="A4" s="70"/>
      <c r="B4" s="70"/>
      <c r="C4" s="67"/>
      <c r="D4" s="67"/>
      <c r="E4" s="65"/>
      <c r="F4" s="65"/>
      <c r="G4" s="65"/>
      <c r="H4" s="71"/>
      <c r="I4" s="71"/>
      <c r="J4" s="72"/>
      <c r="K4" s="72"/>
    </row>
    <row r="5" ht="71.25" customHeight="1">
      <c r="A5" s="73" t="str">
        <f>UPPER(CONFFLUXO!A12)</f>
        <v>TORRE</v>
      </c>
      <c r="B5" s="74">
        <f>SUM(C5:C7)</f>
        <v>0</v>
      </c>
      <c r="C5" s="75">
        <f>CONFFLUXO!Q14</f>
        <v>0</v>
      </c>
      <c r="D5" s="67"/>
      <c r="E5" s="65"/>
      <c r="F5" s="65"/>
      <c r="G5" s="65"/>
      <c r="H5" s="71"/>
      <c r="I5" s="76">
        <f>CONFFLUXO!Q6</f>
        <v>28</v>
      </c>
      <c r="J5" s="77">
        <f>SUM(I5:I7)</f>
        <v>146</v>
      </c>
      <c r="K5" s="78" t="str">
        <f>UPPER(CONFFLUXO!A6)</f>
        <v>ROSARINHO</v>
      </c>
    </row>
    <row r="6" ht="71.25" customHeight="1">
      <c r="A6" s="79"/>
      <c r="B6" s="79"/>
      <c r="C6" s="75">
        <f>CONFFLUXO!Q13</f>
        <v>0</v>
      </c>
      <c r="D6" s="67"/>
      <c r="E6" s="65"/>
      <c r="F6" s="80">
        <f>SUM(E3:G3,I5:I7,E9:G9,C5:C7)</f>
        <v>796</v>
      </c>
      <c r="G6" s="65"/>
      <c r="H6" s="71"/>
      <c r="I6" s="76">
        <f>CONFFLUXO!Q7</f>
        <v>0</v>
      </c>
      <c r="J6" s="79"/>
      <c r="K6" s="79"/>
    </row>
    <row r="7" ht="71.25" customHeight="1">
      <c r="A7" s="81"/>
      <c r="B7" s="81"/>
      <c r="C7" s="75">
        <f>CONFFLUXO!Q12</f>
        <v>0</v>
      </c>
      <c r="D7" s="67"/>
      <c r="E7" s="65"/>
      <c r="F7" s="65"/>
      <c r="G7" s="65"/>
      <c r="H7" s="71"/>
      <c r="I7" s="76">
        <f>CONFFLUXO!Q8</f>
        <v>118</v>
      </c>
      <c r="J7" s="81"/>
      <c r="K7" s="81"/>
    </row>
    <row r="8" ht="27.0" customHeight="1">
      <c r="A8" s="67"/>
      <c r="B8" s="67"/>
      <c r="C8" s="67"/>
      <c r="D8" s="67"/>
      <c r="E8" s="65"/>
      <c r="F8" s="65"/>
      <c r="G8" s="65"/>
      <c r="H8" s="65"/>
      <c r="I8" s="65"/>
      <c r="J8" s="65"/>
      <c r="K8" s="65"/>
    </row>
    <row r="9" ht="22.5" customHeight="1">
      <c r="A9" s="67"/>
      <c r="B9" s="67"/>
      <c r="C9" s="82"/>
      <c r="D9" s="82"/>
      <c r="E9" s="83">
        <f>CONFFLUXO!Q11</f>
        <v>0</v>
      </c>
      <c r="F9" s="83">
        <f>CONFFLUXO!Q10</f>
        <v>113</v>
      </c>
      <c r="G9" s="83">
        <f>CONFFLUXO!Q9</f>
        <v>39</v>
      </c>
      <c r="H9" s="65"/>
      <c r="I9" s="65"/>
      <c r="J9" s="65"/>
      <c r="K9" s="65"/>
    </row>
    <row r="10" ht="22.5" customHeight="1">
      <c r="A10" s="67"/>
      <c r="B10" s="67"/>
      <c r="C10" s="67"/>
      <c r="D10" s="67"/>
      <c r="E10" s="84">
        <f>SUM(E9:G9)</f>
        <v>152</v>
      </c>
      <c r="F10" s="61"/>
      <c r="G10" s="62"/>
      <c r="H10" s="65"/>
      <c r="I10" s="65"/>
      <c r="J10" s="65"/>
      <c r="K10" s="65"/>
    </row>
    <row r="11" ht="22.5" customHeight="1">
      <c r="A11" s="67"/>
      <c r="B11" s="67"/>
      <c r="C11" s="67"/>
      <c r="D11" s="67"/>
      <c r="E11" s="64" t="str">
        <f>UPPER(CONFFLUXO!A9)</f>
        <v>GRAÇAS</v>
      </c>
      <c r="F11" s="61"/>
      <c r="G11" s="62"/>
      <c r="H11" s="65"/>
      <c r="I11" s="65"/>
      <c r="J11" s="65"/>
      <c r="K11" s="85">
        <f>MAX(3:3,I:I,9:9,C:C)</f>
        <v>466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