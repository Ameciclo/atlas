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<sst xmlns="http://schemas.openxmlformats.org/spreadsheetml/2006/main" count="83" uniqueCount="58">
  <si>
    <t>Cruzamento</t>
  </si>
  <si>
    <t>Av. Pres. Kennedy x Av. Antonio da Costa Azevedo</t>
  </si>
  <si>
    <t>Data</t>
  </si>
  <si>
    <t>Coordenadas Geográficas</t>
  </si>
  <si>
    <t>-8.01313, -34.8724</t>
  </si>
  <si>
    <t>Relatório</t>
  </si>
  <si>
    <t>https://drive.google.com/file/d/1AbL1eCwbVc7cMkhXR7Amhx06A0LO9WA-/view?usp=sharing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</si>
  <si>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</si>
  <si>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</si>
  <si>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</si>
  <si>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</si>
  <si>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</si>
  <si>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</si>
  <si>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</si>
  <si>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</si>
  <si>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</si>
  <si>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</si>
  <si>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</si>
  <si>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</si>
  <si>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</si>
  <si>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</si>
  <si>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</si>
  <si>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 xml:space="preserve">Caixa D'água </t>
  </si>
  <si>
    <t>Jardim Brasil</t>
  </si>
  <si>
    <t>Olinda</t>
  </si>
  <si>
    <t>Peixinhos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</si>
  <si>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</si>
  <si>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</si>
  <si>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</si>
  <si>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</si>
  <si>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</si>
  <si>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</si>
  <si>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</si>
  <si>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</si>
  <si>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</si>
  <si>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</si>
  <si>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</si>
  <si>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Triciclo</t>
  </si>
  <si>
    <t>Carroça</t>
  </si>
  <si>
    <t>Elétrica</t>
  </si>
  <si>
    <t>Motorizada</t>
  </si>
  <si>
    <t>Skate e outros patináveis</t>
  </si>
  <si>
    <t>Empurrando</t>
  </si>
  <si>
    <t>Cadeirante</t>
  </si>
  <si>
    <t>"Mascara"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</si>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</sst>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u/>
      <sz val="12.0"/>
      <color rgb="FF1155CC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name val="Arial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3" numFmtId="0" xfId="0" applyAlignment="1" applyFont="1">
      <alignment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0" fontId="3" numFmtId="165" xfId="0" applyAlignment="1" applyFont="1" applyNumberFormat="1">
      <alignment shrinkToFit="0" vertical="bottom" wrapText="1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2" fontId="3" numFmtId="0" xfId="0" applyAlignment="1" applyFont="1">
      <alignment shrinkToFit="0" vertical="bottom" wrapText="1"/>
    </xf>
    <xf borderId="0" fillId="3" fontId="1" numFmtId="0" xfId="0" applyAlignment="1" applyFont="1">
      <alignment readingOrder="0" shrinkToFit="0" vertical="bottom" wrapText="0"/>
    </xf>
    <xf borderId="0" fillId="2" fontId="3" numFmtId="10" xfId="0" applyAlignment="1" applyFont="1" applyNumberFormat="1">
      <alignment shrinkToFit="0" vertical="bottom" wrapText="1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3" numFmtId="10" xfId="0" applyAlignment="1" applyFill="1" applyFont="1" applyNumberFormat="1">
      <alignment shrinkToFit="0" vertical="bottom" wrapText="1"/>
    </xf>
    <xf borderId="0" fillId="4" fontId="1" numFmtId="10" xfId="0" applyAlignment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0" fontId="5" numFmtId="165" xfId="0" applyAlignment="1" applyFont="1" applyNumberFormat="1">
      <alignment horizontal="center" shrinkToFit="0" vertical="center" wrapText="0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vertical="bottom" wrapText="0"/>
    </xf>
    <xf borderId="0" fillId="2" fontId="3" numFmtId="165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4" fontId="9" numFmtId="0" xfId="0" applyAlignment="1" applyFont="1">
      <alignment horizontal="right" shrinkToFit="0" vertical="bottom" wrapText="1"/>
    </xf>
    <xf borderId="0" fillId="5" fontId="8" numFmtId="0" xfId="0" applyAlignment="1" applyFont="1">
      <alignment readingOrder="0" shrinkToFit="0" wrapText="1"/>
    </xf>
    <xf borderId="0" fillId="5" fontId="9" numFmtId="0" xfId="0" applyAlignment="1" applyFont="1">
      <alignment horizontal="right" shrinkToFit="0" vertical="bottom" wrapText="1"/>
    </xf>
    <xf borderId="0" fillId="4" fontId="9" numFmtId="0" xfId="0" applyAlignment="1" applyFont="1">
      <alignment shrinkToFit="0" vertical="bottom" wrapText="1"/>
    </xf>
    <xf borderId="0" fillId="5" fontId="9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4" fontId="9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723015793"/>
        <c:axId val="1426812601"/>
      </c:barChart>
      <c:catAx>
        <c:axId val="1723015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6812601"/>
      </c:catAx>
      <c:valAx>
        <c:axId val="1426812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30157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672610574"/>
        <c:axId val="1210602836"/>
      </c:barChart>
      <c:catAx>
        <c:axId val="672610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0602836"/>
      </c:catAx>
      <c:valAx>
        <c:axId val="1210602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26105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208999642"/>
        <c:axId val="1045085017"/>
      </c:barChart>
      <c:catAx>
        <c:axId val="2089996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5085017"/>
      </c:catAx>
      <c:valAx>
        <c:axId val="10450850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9996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7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49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bL1eCwbVc7cMkhXR7Amhx06A0LO9WA-/view?usp=shari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44482.0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4845</v>
      </c>
    </row>
    <row r="6">
      <c r="A6" s="4" t="s">
        <v>8</v>
      </c>
      <c r="B6" s="7">
        <f>MAX(Dados!D15:Q15)</f>
        <v>573</v>
      </c>
    </row>
    <row r="7">
      <c r="A7" s="4" t="s">
        <v>9</v>
      </c>
      <c r="B7" s="8">
        <f>Dados!S20</f>
        <v>0.07678018576</v>
      </c>
    </row>
    <row r="8">
      <c r="A8" s="4" t="s">
        <v>10</v>
      </c>
      <c r="B8" s="8">
        <f>Dados!S21</f>
        <v>0.0181630547</v>
      </c>
    </row>
    <row r="9">
      <c r="A9" s="4" t="s">
        <v>11</v>
      </c>
      <c r="B9" s="8">
        <f>Dados!S22</f>
        <v>0.01857585139</v>
      </c>
    </row>
    <row r="10">
      <c r="A10" s="4" t="s">
        <v>12</v>
      </c>
      <c r="B10" s="8">
        <f>Dados!S23</f>
        <v>0.04871001032</v>
      </c>
    </row>
    <row r="11">
      <c r="A11" s="4" t="s">
        <v>13</v>
      </c>
      <c r="B11" s="8">
        <f>Dados!S24</f>
        <v>0.2245614035</v>
      </c>
    </row>
    <row r="12">
      <c r="A12" s="4" t="s">
        <v>14</v>
      </c>
      <c r="B12" s="8">
        <f>Dados!S25</f>
        <v>0.0257997936</v>
      </c>
    </row>
    <row r="13">
      <c r="A13" s="4" t="s">
        <v>15</v>
      </c>
      <c r="B13" s="8">
        <f>Dados!S26</f>
        <v>0.2191950464</v>
      </c>
    </row>
    <row r="14">
      <c r="A14" s="4" t="s">
        <v>16</v>
      </c>
      <c r="B14" s="8">
        <f>Dados!S27</f>
        <v>0.01857585139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27.0"/>
    <col customWidth="1" min="4" max="17" width="7.0"/>
    <col customWidth="1" min="18" max="18" width="8.75"/>
    <col customWidth="1" min="19" max="28" width="8.5"/>
  </cols>
  <sheetData>
    <row r="1" ht="12.0" customHeight="1">
      <c r="A1" s="9"/>
      <c r="B1" s="10" t="s">
        <v>17</v>
      </c>
      <c r="T1" s="11"/>
      <c r="U1" s="11"/>
      <c r="V1" s="11"/>
      <c r="W1" s="11"/>
      <c r="X1" s="11"/>
      <c r="Y1" s="11"/>
      <c r="Z1" s="11"/>
      <c r="AA1" s="11"/>
      <c r="AB1" s="11"/>
    </row>
    <row r="2" ht="12.0" customHeight="1">
      <c r="A2" s="9"/>
      <c r="B2" s="12" t="s">
        <v>18</v>
      </c>
      <c r="C2" s="12" t="s">
        <v>19</v>
      </c>
      <c r="D2" s="13">
        <v>6.0</v>
      </c>
      <c r="E2" s="13">
        <v>7.0</v>
      </c>
      <c r="F2" s="13">
        <v>8.0</v>
      </c>
      <c r="G2" s="13">
        <v>9.0</v>
      </c>
      <c r="H2" s="13">
        <v>10.0</v>
      </c>
      <c r="I2" s="13">
        <v>11.0</v>
      </c>
      <c r="J2" s="13">
        <v>12.0</v>
      </c>
      <c r="K2" s="13">
        <v>13.0</v>
      </c>
      <c r="L2" s="13">
        <v>14.0</v>
      </c>
      <c r="M2" s="13">
        <v>15.0</v>
      </c>
      <c r="N2" s="13">
        <v>16.0</v>
      </c>
      <c r="O2" s="13">
        <v>17.0</v>
      </c>
      <c r="P2" s="13">
        <v>18.0</v>
      </c>
      <c r="Q2" s="13">
        <v>19.0</v>
      </c>
      <c r="R2" s="14" t="s">
        <v>20</v>
      </c>
      <c r="S2" s="15" t="s">
        <v>21</v>
      </c>
      <c r="T2" s="11"/>
      <c r="U2" s="11"/>
      <c r="V2" s="11"/>
      <c r="W2" s="11"/>
      <c r="X2" s="11"/>
      <c r="Y2" s="11"/>
      <c r="Z2" s="11"/>
      <c r="AA2" s="11"/>
      <c r="AB2" s="11"/>
    </row>
    <row r="3" ht="14.25" customHeight="1">
      <c r="A3" s="9"/>
      <c r="B3" s="16" t="s">
        <v>22</v>
      </c>
      <c r="C3" s="16" t="str">
        <f>B12</f>
        <v>Peixinhos</v>
      </c>
      <c r="D3" s="16">
        <v>42.0</v>
      </c>
      <c r="E3" s="16">
        <v>44.0</v>
      </c>
      <c r="F3" s="16">
        <v>55.0</v>
      </c>
      <c r="G3" s="16">
        <v>32.0</v>
      </c>
      <c r="H3" s="16">
        <v>50.0</v>
      </c>
      <c r="I3" s="16">
        <v>32.0</v>
      </c>
      <c r="J3" s="16">
        <v>38.0</v>
      </c>
      <c r="K3" s="16">
        <v>40.0</v>
      </c>
      <c r="L3" s="16">
        <v>28.0</v>
      </c>
      <c r="M3" s="16">
        <v>25.0</v>
      </c>
      <c r="N3" s="16">
        <v>50.0</v>
      </c>
      <c r="O3" s="17">
        <v>46.0</v>
      </c>
      <c r="P3" s="17">
        <v>42.0</v>
      </c>
      <c r="Q3" s="16">
        <v>27.0</v>
      </c>
      <c r="R3" s="18">
        <f t="shared" ref="R3:R14" si="1">SUM(D3:Q3)</f>
        <v>551</v>
      </c>
      <c r="S3" s="19">
        <f t="shared" ref="S3:S14" si="2">R3/$R$15</f>
        <v>0.1137254902</v>
      </c>
      <c r="T3" s="11"/>
      <c r="U3" s="11"/>
      <c r="V3" s="11"/>
      <c r="W3" s="11"/>
      <c r="X3" s="11"/>
      <c r="Y3" s="11"/>
      <c r="Z3" s="11"/>
      <c r="AA3" s="11"/>
      <c r="AB3" s="11"/>
    </row>
    <row r="4" ht="14.25" customHeight="1">
      <c r="A4" s="9"/>
      <c r="B4" s="16" t="str">
        <f>B3</f>
        <v>Caixa D'água </v>
      </c>
      <c r="C4" s="16" t="str">
        <f>B9</f>
        <v>Olinda</v>
      </c>
      <c r="D4" s="16">
        <v>69.0</v>
      </c>
      <c r="E4" s="16">
        <v>67.0</v>
      </c>
      <c r="F4" s="16">
        <v>59.0</v>
      </c>
      <c r="G4" s="16">
        <v>51.0</v>
      </c>
      <c r="H4" s="16">
        <v>52.0</v>
      </c>
      <c r="I4" s="16">
        <v>45.0</v>
      </c>
      <c r="J4" s="16">
        <v>56.0</v>
      </c>
      <c r="K4" s="16">
        <v>38.0</v>
      </c>
      <c r="L4" s="16">
        <v>26.0</v>
      </c>
      <c r="M4" s="16">
        <v>23.0</v>
      </c>
      <c r="N4" s="16">
        <v>44.0</v>
      </c>
      <c r="O4" s="17">
        <v>68.0</v>
      </c>
      <c r="P4" s="17">
        <v>50.0</v>
      </c>
      <c r="Q4" s="16">
        <v>28.0</v>
      </c>
      <c r="R4" s="18">
        <f t="shared" si="1"/>
        <v>676</v>
      </c>
      <c r="S4" s="19">
        <f t="shared" si="2"/>
        <v>0.1395252838</v>
      </c>
      <c r="T4" s="11"/>
      <c r="U4" s="11"/>
      <c r="V4" s="11"/>
      <c r="W4" s="11"/>
      <c r="X4" s="11"/>
      <c r="Y4" s="11"/>
      <c r="Z4" s="11"/>
      <c r="AA4" s="11"/>
      <c r="AB4" s="11"/>
    </row>
    <row r="5" ht="14.25" customHeight="1">
      <c r="A5" s="9"/>
      <c r="B5" s="16" t="str">
        <f>B3</f>
        <v>Caixa D'água </v>
      </c>
      <c r="C5" s="16" t="str">
        <f>B6</f>
        <v>Jardim Brasil</v>
      </c>
      <c r="D5" s="16">
        <v>4.0</v>
      </c>
      <c r="E5" s="16">
        <v>12.0</v>
      </c>
      <c r="F5" s="16">
        <v>10.0</v>
      </c>
      <c r="G5" s="16">
        <v>7.0</v>
      </c>
      <c r="H5" s="16">
        <v>12.0</v>
      </c>
      <c r="I5" s="16">
        <v>10.0</v>
      </c>
      <c r="J5" s="16">
        <v>18.0</v>
      </c>
      <c r="K5" s="16">
        <v>15.0</v>
      </c>
      <c r="L5" s="16">
        <v>7.0</v>
      </c>
      <c r="M5" s="16">
        <v>8.0</v>
      </c>
      <c r="N5" s="16">
        <v>7.0</v>
      </c>
      <c r="O5" s="17">
        <v>16.0</v>
      </c>
      <c r="P5" s="17">
        <v>15.0</v>
      </c>
      <c r="Q5" s="16">
        <v>10.0</v>
      </c>
      <c r="R5" s="18">
        <f t="shared" si="1"/>
        <v>151</v>
      </c>
      <c r="S5" s="19">
        <f t="shared" si="2"/>
        <v>0.03116615067</v>
      </c>
      <c r="T5" s="11"/>
      <c r="U5" s="11"/>
      <c r="V5" s="11"/>
      <c r="W5" s="11"/>
      <c r="X5" s="11"/>
      <c r="Y5" s="11"/>
      <c r="Z5" s="11"/>
      <c r="AA5" s="11"/>
      <c r="AB5" s="11"/>
    </row>
    <row r="6" ht="14.25" customHeight="1">
      <c r="A6" s="9"/>
      <c r="B6" s="16" t="s">
        <v>23</v>
      </c>
      <c r="C6" s="16" t="str">
        <f>B3</f>
        <v>Caixa D'água </v>
      </c>
      <c r="D6" s="16">
        <v>14.0</v>
      </c>
      <c r="E6" s="16">
        <v>8.0</v>
      </c>
      <c r="F6" s="16">
        <v>10.0</v>
      </c>
      <c r="G6" s="16">
        <v>15.0</v>
      </c>
      <c r="H6" s="16">
        <v>19.0</v>
      </c>
      <c r="I6" s="16">
        <v>9.0</v>
      </c>
      <c r="J6" s="16">
        <v>18.0</v>
      </c>
      <c r="K6" s="16">
        <v>13.0</v>
      </c>
      <c r="L6" s="16">
        <v>6.0</v>
      </c>
      <c r="M6" s="16">
        <v>5.0</v>
      </c>
      <c r="N6" s="16">
        <v>17.0</v>
      </c>
      <c r="O6" s="17">
        <v>33.0</v>
      </c>
      <c r="P6" s="17">
        <v>14.0</v>
      </c>
      <c r="Q6" s="16">
        <v>9.0</v>
      </c>
      <c r="R6" s="18">
        <f t="shared" si="1"/>
        <v>190</v>
      </c>
      <c r="S6" s="19">
        <f t="shared" si="2"/>
        <v>0.03921568627</v>
      </c>
      <c r="T6" s="11"/>
      <c r="U6" s="11"/>
      <c r="V6" s="11"/>
      <c r="W6" s="11"/>
      <c r="X6" s="11"/>
      <c r="Y6" s="11"/>
      <c r="Z6" s="11"/>
      <c r="AA6" s="11"/>
      <c r="AB6" s="11"/>
    </row>
    <row r="7" ht="14.25" customHeight="1">
      <c r="A7" s="9"/>
      <c r="B7" s="16" t="str">
        <f>B6</f>
        <v>Jardim Brasil</v>
      </c>
      <c r="C7" s="16" t="str">
        <f>B12</f>
        <v>Peixinhos</v>
      </c>
      <c r="D7" s="16">
        <v>57.0</v>
      </c>
      <c r="E7" s="16">
        <v>63.0</v>
      </c>
      <c r="F7" s="16">
        <v>38.0</v>
      </c>
      <c r="G7" s="16">
        <v>35.0</v>
      </c>
      <c r="H7" s="16">
        <v>36.0</v>
      </c>
      <c r="I7" s="16">
        <v>45.0</v>
      </c>
      <c r="J7" s="16">
        <v>41.0</v>
      </c>
      <c r="K7" s="16">
        <v>36.0</v>
      </c>
      <c r="L7" s="16">
        <v>22.0</v>
      </c>
      <c r="M7" s="16">
        <v>22.0</v>
      </c>
      <c r="N7" s="16">
        <v>45.0</v>
      </c>
      <c r="O7" s="17">
        <v>71.0</v>
      </c>
      <c r="P7" s="17">
        <v>45.0</v>
      </c>
      <c r="Q7" s="16">
        <v>30.0</v>
      </c>
      <c r="R7" s="18">
        <f t="shared" si="1"/>
        <v>586</v>
      </c>
      <c r="S7" s="19">
        <f t="shared" si="2"/>
        <v>0.1209494324</v>
      </c>
      <c r="T7" s="11"/>
      <c r="U7" s="11"/>
      <c r="V7" s="11"/>
      <c r="W7" s="11"/>
      <c r="X7" s="11"/>
      <c r="Y7" s="11"/>
      <c r="Z7" s="11"/>
      <c r="AA7" s="11"/>
      <c r="AB7" s="11"/>
    </row>
    <row r="8" ht="14.25" customHeight="1">
      <c r="A8" s="9"/>
      <c r="B8" s="16" t="str">
        <f>B6</f>
        <v>Jardim Brasil</v>
      </c>
      <c r="C8" s="16" t="str">
        <f>B9</f>
        <v>Olinda</v>
      </c>
      <c r="D8" s="16">
        <v>16.0</v>
      </c>
      <c r="E8" s="16">
        <v>22.0</v>
      </c>
      <c r="F8" s="16">
        <v>19.0</v>
      </c>
      <c r="G8" s="16">
        <v>18.0</v>
      </c>
      <c r="H8" s="16">
        <v>18.0</v>
      </c>
      <c r="I8" s="16">
        <v>12.0</v>
      </c>
      <c r="J8" s="16">
        <v>15.0</v>
      </c>
      <c r="K8" s="16">
        <v>15.0</v>
      </c>
      <c r="L8" s="16">
        <v>11.0</v>
      </c>
      <c r="M8" s="16">
        <v>15.0</v>
      </c>
      <c r="N8" s="16">
        <v>21.0</v>
      </c>
      <c r="O8" s="17">
        <v>35.0</v>
      </c>
      <c r="P8" s="17">
        <v>13.0</v>
      </c>
      <c r="Q8" s="16">
        <v>10.0</v>
      </c>
      <c r="R8" s="18">
        <f t="shared" si="1"/>
        <v>240</v>
      </c>
      <c r="S8" s="19">
        <f t="shared" si="2"/>
        <v>0.04953560372</v>
      </c>
      <c r="T8" s="11"/>
      <c r="U8" s="11"/>
      <c r="V8" s="11"/>
      <c r="W8" s="11"/>
      <c r="X8" s="11"/>
      <c r="Y8" s="11"/>
      <c r="Z8" s="11"/>
      <c r="AA8" s="11"/>
      <c r="AB8" s="11"/>
    </row>
    <row r="9" ht="14.25" customHeight="1">
      <c r="A9" s="9"/>
      <c r="B9" s="16" t="s">
        <v>24</v>
      </c>
      <c r="C9" s="16" t="str">
        <f>B6</f>
        <v>Jardim Brasil</v>
      </c>
      <c r="D9" s="16">
        <v>16.0</v>
      </c>
      <c r="E9" s="16">
        <v>18.0</v>
      </c>
      <c r="F9" s="16">
        <v>26.0</v>
      </c>
      <c r="G9" s="16">
        <v>39.0</v>
      </c>
      <c r="H9" s="16">
        <v>21.0</v>
      </c>
      <c r="I9" s="16">
        <v>20.0</v>
      </c>
      <c r="J9" s="16">
        <v>34.0</v>
      </c>
      <c r="K9" s="16">
        <v>20.0</v>
      </c>
      <c r="L9" s="16">
        <v>25.0</v>
      </c>
      <c r="M9" s="16">
        <v>25.0</v>
      </c>
      <c r="N9" s="16">
        <v>33.0</v>
      </c>
      <c r="O9" s="17">
        <v>64.0</v>
      </c>
      <c r="P9" s="17">
        <v>48.0</v>
      </c>
      <c r="Q9" s="16">
        <v>14.0</v>
      </c>
      <c r="R9" s="18">
        <f t="shared" si="1"/>
        <v>403</v>
      </c>
      <c r="S9" s="19">
        <f t="shared" si="2"/>
        <v>0.08317853457</v>
      </c>
      <c r="T9" s="11"/>
      <c r="U9" s="11"/>
      <c r="V9" s="11"/>
      <c r="W9" s="11"/>
      <c r="X9" s="11"/>
      <c r="Y9" s="11"/>
      <c r="Z9" s="11"/>
      <c r="AA9" s="11"/>
      <c r="AB9" s="11"/>
    </row>
    <row r="10" ht="14.25" customHeight="1">
      <c r="A10" s="9"/>
      <c r="B10" s="16" t="str">
        <f>B9</f>
        <v>Olinda</v>
      </c>
      <c r="C10" s="16" t="str">
        <f>B3</f>
        <v>Caixa D'água </v>
      </c>
      <c r="D10" s="16">
        <v>38.0</v>
      </c>
      <c r="E10" s="16">
        <v>55.0</v>
      </c>
      <c r="F10" s="16">
        <v>43.0</v>
      </c>
      <c r="G10" s="16">
        <v>39.0</v>
      </c>
      <c r="H10" s="16">
        <v>62.0</v>
      </c>
      <c r="I10" s="16">
        <v>32.0</v>
      </c>
      <c r="J10" s="16">
        <v>48.0</v>
      </c>
      <c r="K10" s="16">
        <v>36.0</v>
      </c>
      <c r="L10" s="16">
        <v>36.0</v>
      </c>
      <c r="M10" s="16">
        <v>41.0</v>
      </c>
      <c r="N10" s="16">
        <v>77.0</v>
      </c>
      <c r="O10" s="17">
        <v>80.0</v>
      </c>
      <c r="P10" s="17">
        <v>70.0</v>
      </c>
      <c r="Q10" s="16">
        <v>28.0</v>
      </c>
      <c r="R10" s="18">
        <f t="shared" si="1"/>
        <v>685</v>
      </c>
      <c r="S10" s="19">
        <f t="shared" si="2"/>
        <v>0.1413828689</v>
      </c>
      <c r="T10" s="11"/>
      <c r="U10" s="11"/>
      <c r="V10" s="11"/>
      <c r="W10" s="11"/>
      <c r="X10" s="11"/>
      <c r="Y10" s="11"/>
      <c r="Z10" s="11"/>
      <c r="AA10" s="11"/>
      <c r="AB10" s="11"/>
    </row>
    <row r="11" ht="14.25" customHeight="1">
      <c r="A11" s="9"/>
      <c r="B11" s="16" t="str">
        <f>B9</f>
        <v>Olinda</v>
      </c>
      <c r="C11" s="16" t="str">
        <f>B12</f>
        <v>Peixinhos</v>
      </c>
      <c r="D11" s="16">
        <v>7.0</v>
      </c>
      <c r="E11" s="16">
        <v>19.0</v>
      </c>
      <c r="F11" s="16">
        <v>26.0</v>
      </c>
      <c r="G11" s="16">
        <v>16.0</v>
      </c>
      <c r="H11" s="16">
        <v>23.0</v>
      </c>
      <c r="I11" s="16">
        <v>19.0</v>
      </c>
      <c r="J11" s="16">
        <v>17.0</v>
      </c>
      <c r="K11" s="16">
        <v>13.0</v>
      </c>
      <c r="L11" s="16">
        <v>16.0</v>
      </c>
      <c r="M11" s="16">
        <v>9.0</v>
      </c>
      <c r="N11" s="16">
        <v>21.0</v>
      </c>
      <c r="O11" s="17">
        <v>31.0</v>
      </c>
      <c r="P11" s="17">
        <v>7.0</v>
      </c>
      <c r="Q11" s="16">
        <v>13.0</v>
      </c>
      <c r="R11" s="18">
        <f t="shared" si="1"/>
        <v>237</v>
      </c>
      <c r="S11" s="19">
        <f t="shared" si="2"/>
        <v>0.04891640867</v>
      </c>
      <c r="T11" s="11"/>
      <c r="U11" s="11"/>
      <c r="V11" s="11"/>
      <c r="W11" s="11"/>
      <c r="X11" s="11"/>
      <c r="Y11" s="11"/>
      <c r="Z11" s="11"/>
      <c r="AA11" s="11"/>
      <c r="AB11" s="11"/>
    </row>
    <row r="12" ht="14.25" customHeight="1">
      <c r="A12" s="9"/>
      <c r="B12" s="16" t="s">
        <v>25</v>
      </c>
      <c r="C12" s="16" t="str">
        <f>B9</f>
        <v>Olinda</v>
      </c>
      <c r="D12" s="16">
        <v>7.0</v>
      </c>
      <c r="E12" s="16">
        <v>12.0</v>
      </c>
      <c r="F12" s="16">
        <v>29.0</v>
      </c>
      <c r="G12" s="16">
        <v>11.0</v>
      </c>
      <c r="H12" s="16">
        <v>19.0</v>
      </c>
      <c r="I12" s="16">
        <v>19.0</v>
      </c>
      <c r="J12" s="16">
        <v>11.0</v>
      </c>
      <c r="K12" s="16">
        <v>8.0</v>
      </c>
      <c r="L12" s="16">
        <v>9.0</v>
      </c>
      <c r="M12" s="16">
        <v>3.0</v>
      </c>
      <c r="N12" s="16">
        <v>10.0</v>
      </c>
      <c r="O12" s="17">
        <v>11.0</v>
      </c>
      <c r="P12" s="17">
        <v>8.0</v>
      </c>
      <c r="Q12" s="16">
        <v>7.0</v>
      </c>
      <c r="R12" s="18">
        <f t="shared" si="1"/>
        <v>164</v>
      </c>
      <c r="S12" s="19">
        <f t="shared" si="2"/>
        <v>0.03384932921</v>
      </c>
      <c r="T12" s="11"/>
      <c r="U12" s="11"/>
      <c r="V12" s="11"/>
      <c r="W12" s="11"/>
      <c r="X12" s="11"/>
      <c r="Y12" s="11"/>
      <c r="Z12" s="11"/>
      <c r="AA12" s="11"/>
      <c r="AB12" s="11"/>
    </row>
    <row r="13" ht="14.25" customHeight="1">
      <c r="A13" s="9"/>
      <c r="B13" s="16" t="str">
        <f>B12</f>
        <v>Peixinhos</v>
      </c>
      <c r="C13" s="16" t="str">
        <f>B6</f>
        <v>Jardim Brasil</v>
      </c>
      <c r="D13" s="16">
        <v>27.0</v>
      </c>
      <c r="E13" s="16">
        <v>51.0</v>
      </c>
      <c r="F13" s="16">
        <v>35.0</v>
      </c>
      <c r="G13" s="16">
        <v>25.0</v>
      </c>
      <c r="H13" s="16">
        <v>29.0</v>
      </c>
      <c r="I13" s="16">
        <v>35.0</v>
      </c>
      <c r="J13" s="16">
        <v>25.0</v>
      </c>
      <c r="K13" s="16">
        <v>24.0</v>
      </c>
      <c r="L13" s="16">
        <v>31.0</v>
      </c>
      <c r="M13" s="16">
        <v>41.0</v>
      </c>
      <c r="N13" s="16">
        <v>44.0</v>
      </c>
      <c r="O13" s="17">
        <v>65.0</v>
      </c>
      <c r="P13" s="17">
        <v>50.0</v>
      </c>
      <c r="Q13" s="16">
        <v>40.0</v>
      </c>
      <c r="R13" s="18">
        <f t="shared" si="1"/>
        <v>522</v>
      </c>
      <c r="S13" s="19">
        <f t="shared" si="2"/>
        <v>0.1077399381</v>
      </c>
      <c r="T13" s="11"/>
      <c r="U13" s="11"/>
      <c r="V13" s="11"/>
      <c r="W13" s="11"/>
      <c r="X13" s="11"/>
      <c r="Y13" s="11"/>
      <c r="Z13" s="11"/>
      <c r="AA13" s="11"/>
      <c r="AB13" s="11"/>
    </row>
    <row r="14" ht="14.25" customHeight="1">
      <c r="A14" s="9"/>
      <c r="B14" s="16" t="str">
        <f>B12</f>
        <v>Peixinhos</v>
      </c>
      <c r="C14" s="16" t="str">
        <f>B3</f>
        <v>Caixa D'água </v>
      </c>
      <c r="D14" s="16">
        <v>21.0</v>
      </c>
      <c r="E14" s="16">
        <v>30.0</v>
      </c>
      <c r="F14" s="16">
        <v>29.0</v>
      </c>
      <c r="G14" s="16">
        <v>27.0</v>
      </c>
      <c r="H14" s="16">
        <v>42.0</v>
      </c>
      <c r="I14" s="16">
        <v>37.0</v>
      </c>
      <c r="J14" s="16">
        <v>32.0</v>
      </c>
      <c r="K14" s="16">
        <v>27.0</v>
      </c>
      <c r="L14" s="16">
        <v>30.0</v>
      </c>
      <c r="M14" s="16">
        <v>22.0</v>
      </c>
      <c r="N14" s="16">
        <v>32.0</v>
      </c>
      <c r="O14" s="17">
        <v>53.0</v>
      </c>
      <c r="P14" s="17">
        <v>38.0</v>
      </c>
      <c r="Q14" s="16">
        <v>20.0</v>
      </c>
      <c r="R14" s="18">
        <f t="shared" si="1"/>
        <v>440</v>
      </c>
      <c r="S14" s="19">
        <f t="shared" si="2"/>
        <v>0.09081527348</v>
      </c>
      <c r="T14" s="11"/>
      <c r="U14" s="11"/>
      <c r="V14" s="11"/>
      <c r="W14" s="11"/>
      <c r="X14" s="11"/>
      <c r="Y14" s="11"/>
      <c r="Z14" s="11"/>
      <c r="AA14" s="11"/>
      <c r="AB14" s="11"/>
    </row>
    <row r="15" ht="14.25" customHeight="1">
      <c r="A15" s="20"/>
      <c r="B15" s="21"/>
      <c r="C15" s="21" t="s">
        <v>20</v>
      </c>
      <c r="D15" s="18">
        <f t="shared" ref="D15:Q15" si="3">SUM(D3:D14)</f>
        <v>318</v>
      </c>
      <c r="E15" s="18">
        <f t="shared" si="3"/>
        <v>401</v>
      </c>
      <c r="F15" s="18">
        <f t="shared" si="3"/>
        <v>379</v>
      </c>
      <c r="G15" s="18">
        <f t="shared" si="3"/>
        <v>315</v>
      </c>
      <c r="H15" s="18">
        <f t="shared" si="3"/>
        <v>383</v>
      </c>
      <c r="I15" s="18">
        <f t="shared" si="3"/>
        <v>315</v>
      </c>
      <c r="J15" s="18">
        <f t="shared" si="3"/>
        <v>353</v>
      </c>
      <c r="K15" s="18">
        <f t="shared" si="3"/>
        <v>285</v>
      </c>
      <c r="L15" s="18">
        <f t="shared" si="3"/>
        <v>247</v>
      </c>
      <c r="M15" s="18">
        <f t="shared" si="3"/>
        <v>239</v>
      </c>
      <c r="N15" s="18">
        <f t="shared" si="3"/>
        <v>401</v>
      </c>
      <c r="O15" s="18">
        <f t="shared" si="3"/>
        <v>573</v>
      </c>
      <c r="P15" s="18">
        <f t="shared" si="3"/>
        <v>400</v>
      </c>
      <c r="Q15" s="18">
        <f t="shared" si="3"/>
        <v>236</v>
      </c>
      <c r="R15" s="18">
        <f>SUM(R$3:R$14)</f>
        <v>4845</v>
      </c>
      <c r="S15" s="19"/>
      <c r="T15" s="11"/>
      <c r="U15" s="11"/>
      <c r="V15" s="11"/>
      <c r="W15" s="11"/>
      <c r="X15" s="11"/>
      <c r="Y15" s="11"/>
      <c r="Z15" s="11"/>
      <c r="AA15" s="11"/>
      <c r="AB15" s="11"/>
    </row>
    <row r="16" ht="13.5" customHeight="1">
      <c r="A16" s="22"/>
      <c r="B16" s="23"/>
      <c r="C16" s="23" t="s">
        <v>26</v>
      </c>
      <c r="D16" s="24">
        <f t="shared" ref="D16:Q16" si="4">D15/$R$15</f>
        <v>0.06563467492</v>
      </c>
      <c r="E16" s="24">
        <f t="shared" si="4"/>
        <v>0.08276573787</v>
      </c>
      <c r="F16" s="24">
        <f t="shared" si="4"/>
        <v>0.0782249742</v>
      </c>
      <c r="G16" s="24">
        <f t="shared" si="4"/>
        <v>0.06501547988</v>
      </c>
      <c r="H16" s="24">
        <f t="shared" si="4"/>
        <v>0.0790505676</v>
      </c>
      <c r="I16" s="24">
        <f t="shared" si="4"/>
        <v>0.06501547988</v>
      </c>
      <c r="J16" s="24">
        <f t="shared" si="4"/>
        <v>0.07285861713</v>
      </c>
      <c r="K16" s="24">
        <f t="shared" si="4"/>
        <v>0.05882352941</v>
      </c>
      <c r="L16" s="24">
        <f t="shared" si="4"/>
        <v>0.05098039216</v>
      </c>
      <c r="M16" s="24">
        <f t="shared" si="4"/>
        <v>0.04932920537</v>
      </c>
      <c r="N16" s="24">
        <f t="shared" si="4"/>
        <v>0.08276573787</v>
      </c>
      <c r="O16" s="24">
        <f t="shared" si="4"/>
        <v>0.1182662539</v>
      </c>
      <c r="P16" s="24">
        <f t="shared" si="4"/>
        <v>0.08255933953</v>
      </c>
      <c r="Q16" s="24">
        <f t="shared" si="4"/>
        <v>0.04871001032</v>
      </c>
      <c r="R16" s="24">
        <f>SUM(D16:Q16)</f>
        <v>1</v>
      </c>
      <c r="S16" s="19"/>
      <c r="T16" s="11"/>
      <c r="U16" s="11"/>
      <c r="V16" s="11"/>
      <c r="W16" s="11"/>
      <c r="X16" s="11"/>
      <c r="Y16" s="11"/>
      <c r="Z16" s="11"/>
      <c r="AA16" s="11"/>
      <c r="AB16" s="11"/>
    </row>
    <row r="17" ht="13.5" customHeight="1">
      <c r="A17" s="25"/>
      <c r="B17" s="26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8"/>
      <c r="T17" s="11"/>
      <c r="U17" s="11"/>
      <c r="V17" s="11"/>
      <c r="W17" s="11"/>
      <c r="X17" s="11"/>
      <c r="Y17" s="11"/>
      <c r="Z17" s="11"/>
      <c r="AA17" s="11"/>
      <c r="AB17" s="11"/>
    </row>
    <row r="18" ht="12.0" customHeight="1">
      <c r="A18" s="9"/>
      <c r="B18" s="9"/>
      <c r="C18" s="10" t="s">
        <v>27</v>
      </c>
      <c r="T18" s="11"/>
      <c r="U18" s="11"/>
      <c r="V18" s="11"/>
      <c r="W18" s="11"/>
      <c r="X18" s="11"/>
      <c r="Y18" s="11"/>
      <c r="Z18" s="11"/>
      <c r="AA18" s="11"/>
      <c r="AB18" s="11"/>
    </row>
    <row r="19" ht="12.0" customHeight="1">
      <c r="A19" s="9"/>
      <c r="B19" s="29"/>
      <c r="C19" s="12" t="s">
        <v>28</v>
      </c>
      <c r="D19" s="13">
        <v>6.0</v>
      </c>
      <c r="E19" s="13">
        <v>7.0</v>
      </c>
      <c r="F19" s="13">
        <v>8.0</v>
      </c>
      <c r="G19" s="13">
        <v>9.0</v>
      </c>
      <c r="H19" s="13">
        <v>10.0</v>
      </c>
      <c r="I19" s="13">
        <v>11.0</v>
      </c>
      <c r="J19" s="13">
        <v>12.0</v>
      </c>
      <c r="K19" s="13">
        <v>13.0</v>
      </c>
      <c r="L19" s="13">
        <v>14.0</v>
      </c>
      <c r="M19" s="13">
        <v>15.0</v>
      </c>
      <c r="N19" s="13">
        <v>16.0</v>
      </c>
      <c r="O19" s="13">
        <v>17.0</v>
      </c>
      <c r="P19" s="13">
        <v>18.0</v>
      </c>
      <c r="Q19" s="13">
        <v>19.0</v>
      </c>
      <c r="R19" s="14" t="s">
        <v>20</v>
      </c>
      <c r="S19" s="15" t="s">
        <v>21</v>
      </c>
      <c r="T19" s="11"/>
      <c r="U19" s="11"/>
      <c r="V19" s="11"/>
      <c r="W19" s="11"/>
      <c r="X19" s="11"/>
      <c r="Y19" s="11"/>
      <c r="Z19" s="11"/>
      <c r="AA19" s="11"/>
      <c r="AB19" s="11"/>
    </row>
    <row r="20" ht="14.25" customHeight="1">
      <c r="A20" s="20"/>
      <c r="B20" s="30"/>
      <c r="C20" s="17" t="s">
        <v>9</v>
      </c>
      <c r="D20" s="17">
        <v>12.0</v>
      </c>
      <c r="E20" s="17">
        <v>36.0</v>
      </c>
      <c r="F20" s="17">
        <v>24.0</v>
      </c>
      <c r="G20" s="17">
        <v>28.0</v>
      </c>
      <c r="H20" s="17">
        <v>19.0</v>
      </c>
      <c r="I20" s="17">
        <v>23.0</v>
      </c>
      <c r="J20" s="17">
        <v>19.0</v>
      </c>
      <c r="K20" s="17">
        <v>34.0</v>
      </c>
      <c r="L20" s="17">
        <v>14.0</v>
      </c>
      <c r="M20" s="17">
        <v>33.0</v>
      </c>
      <c r="N20" s="17">
        <v>39.0</v>
      </c>
      <c r="O20" s="17">
        <v>40.0</v>
      </c>
      <c r="P20" s="17">
        <v>30.0</v>
      </c>
      <c r="Q20" s="17">
        <v>21.0</v>
      </c>
      <c r="R20" s="14">
        <f t="shared" ref="R20:R27" si="5">SUM(D20:Q20)</f>
        <v>372</v>
      </c>
      <c r="S20" s="15">
        <f t="shared" ref="S20:S27" si="6">R20/$R$15</f>
        <v>0.07678018576</v>
      </c>
      <c r="T20" s="11"/>
      <c r="U20" s="11"/>
      <c r="V20" s="11"/>
      <c r="W20" s="11"/>
      <c r="X20" s="11"/>
      <c r="Y20" s="11"/>
      <c r="Z20" s="11"/>
      <c r="AA20" s="11"/>
      <c r="AB20" s="11"/>
    </row>
    <row r="21" ht="14.25" customHeight="1">
      <c r="A21" s="20"/>
      <c r="B21" s="30"/>
      <c r="C21" s="17" t="s">
        <v>10</v>
      </c>
      <c r="D21" s="17">
        <v>0.0</v>
      </c>
      <c r="E21" s="17">
        <v>1.0</v>
      </c>
      <c r="F21" s="17">
        <v>3.0</v>
      </c>
      <c r="G21" s="17">
        <v>2.0</v>
      </c>
      <c r="H21" s="17">
        <v>10.0</v>
      </c>
      <c r="I21" s="17">
        <v>12.0</v>
      </c>
      <c r="J21" s="17">
        <v>18.0</v>
      </c>
      <c r="K21" s="17">
        <v>3.0</v>
      </c>
      <c r="L21" s="17">
        <v>13.0</v>
      </c>
      <c r="M21" s="17">
        <v>12.0</v>
      </c>
      <c r="N21" s="17">
        <v>7.0</v>
      </c>
      <c r="O21" s="17">
        <v>5.0</v>
      </c>
      <c r="P21" s="17">
        <v>0.0</v>
      </c>
      <c r="Q21" s="17">
        <v>2.0</v>
      </c>
      <c r="R21" s="14">
        <f t="shared" si="5"/>
        <v>88</v>
      </c>
      <c r="S21" s="15">
        <f t="shared" si="6"/>
        <v>0.0181630547</v>
      </c>
      <c r="T21" s="11"/>
      <c r="U21" s="11"/>
      <c r="V21" s="11"/>
      <c r="W21" s="11"/>
      <c r="X21" s="11"/>
      <c r="Y21" s="11"/>
      <c r="Z21" s="11"/>
      <c r="AA21" s="11"/>
      <c r="AB21" s="11"/>
    </row>
    <row r="22" ht="14.25" customHeight="1">
      <c r="A22" s="20"/>
      <c r="B22" s="30"/>
      <c r="C22" s="17" t="s">
        <v>11</v>
      </c>
      <c r="D22" s="17">
        <v>10.0</v>
      </c>
      <c r="E22" s="17">
        <v>13.0</v>
      </c>
      <c r="F22" s="17">
        <v>3.0</v>
      </c>
      <c r="G22" s="17">
        <v>7.0</v>
      </c>
      <c r="H22" s="17">
        <v>6.0</v>
      </c>
      <c r="I22" s="17">
        <v>1.0</v>
      </c>
      <c r="J22" s="17">
        <v>6.0</v>
      </c>
      <c r="K22" s="17">
        <v>5.0</v>
      </c>
      <c r="L22" s="17">
        <v>2.0</v>
      </c>
      <c r="M22" s="17">
        <v>2.0</v>
      </c>
      <c r="N22" s="17">
        <v>6.0</v>
      </c>
      <c r="O22" s="17">
        <v>9.0</v>
      </c>
      <c r="P22" s="17">
        <v>11.0</v>
      </c>
      <c r="Q22" s="17">
        <v>9.0</v>
      </c>
      <c r="R22" s="14">
        <f t="shared" si="5"/>
        <v>90</v>
      </c>
      <c r="S22" s="15">
        <f t="shared" si="6"/>
        <v>0.01857585139</v>
      </c>
      <c r="T22" s="11"/>
      <c r="U22" s="11"/>
      <c r="V22" s="11"/>
      <c r="W22" s="11"/>
      <c r="X22" s="11"/>
      <c r="Y22" s="11"/>
      <c r="Z22" s="11"/>
      <c r="AA22" s="11"/>
      <c r="AB22" s="11"/>
    </row>
    <row r="23" ht="14.25" customHeight="1">
      <c r="A23" s="20"/>
      <c r="B23" s="30"/>
      <c r="C23" s="17" t="s">
        <v>12</v>
      </c>
      <c r="D23" s="17">
        <f t="shared" ref="D23:Q23" si="7">SUM(D32:D34)</f>
        <v>7</v>
      </c>
      <c r="E23" s="17">
        <f t="shared" si="7"/>
        <v>16</v>
      </c>
      <c r="F23" s="17">
        <f t="shared" si="7"/>
        <v>6</v>
      </c>
      <c r="G23" s="17">
        <f t="shared" si="7"/>
        <v>10</v>
      </c>
      <c r="H23" s="17">
        <f t="shared" si="7"/>
        <v>10</v>
      </c>
      <c r="I23" s="17">
        <f t="shared" si="7"/>
        <v>27</v>
      </c>
      <c r="J23" s="17">
        <f t="shared" si="7"/>
        <v>16</v>
      </c>
      <c r="K23" s="17">
        <f t="shared" si="7"/>
        <v>21</v>
      </c>
      <c r="L23" s="17">
        <f t="shared" si="7"/>
        <v>14</v>
      </c>
      <c r="M23" s="17">
        <f t="shared" si="7"/>
        <v>12</v>
      </c>
      <c r="N23" s="17">
        <f t="shared" si="7"/>
        <v>16</v>
      </c>
      <c r="O23" s="17">
        <f t="shared" si="7"/>
        <v>34</v>
      </c>
      <c r="P23" s="17">
        <f t="shared" si="7"/>
        <v>23</v>
      </c>
      <c r="Q23" s="17">
        <f t="shared" si="7"/>
        <v>24</v>
      </c>
      <c r="R23" s="14">
        <f t="shared" si="5"/>
        <v>236</v>
      </c>
      <c r="S23" s="15">
        <f t="shared" si="6"/>
        <v>0.04871001032</v>
      </c>
      <c r="T23" s="11"/>
      <c r="U23" s="11"/>
      <c r="V23" s="11"/>
      <c r="W23" s="11"/>
      <c r="X23" s="11"/>
      <c r="Y23" s="11"/>
      <c r="Z23" s="11"/>
      <c r="AA23" s="11"/>
      <c r="AB23" s="11"/>
    </row>
    <row r="24" ht="14.25" customHeight="1">
      <c r="A24" s="20"/>
      <c r="B24" s="30"/>
      <c r="C24" s="17" t="s">
        <v>13</v>
      </c>
      <c r="D24" s="17">
        <f t="shared" ref="D24:Q24" si="8">SUM(D35:D36)</f>
        <v>67</v>
      </c>
      <c r="E24" s="17">
        <f t="shared" si="8"/>
        <v>88</v>
      </c>
      <c r="F24" s="17">
        <f t="shared" si="8"/>
        <v>124</v>
      </c>
      <c r="G24" s="17">
        <f t="shared" si="8"/>
        <v>104</v>
      </c>
      <c r="H24" s="17">
        <f t="shared" si="8"/>
        <v>92</v>
      </c>
      <c r="I24" s="17">
        <f t="shared" si="8"/>
        <v>90</v>
      </c>
      <c r="J24" s="17">
        <f t="shared" si="8"/>
        <v>59</v>
      </c>
      <c r="K24" s="17">
        <f t="shared" si="8"/>
        <v>59</v>
      </c>
      <c r="L24" s="17">
        <f t="shared" si="8"/>
        <v>61</v>
      </c>
      <c r="M24" s="17">
        <f t="shared" si="8"/>
        <v>85</v>
      </c>
      <c r="N24" s="17">
        <f t="shared" si="8"/>
        <v>99</v>
      </c>
      <c r="O24" s="17">
        <f t="shared" si="8"/>
        <v>82</v>
      </c>
      <c r="P24" s="17">
        <f t="shared" si="8"/>
        <v>43</v>
      </c>
      <c r="Q24" s="17">
        <f t="shared" si="8"/>
        <v>35</v>
      </c>
      <c r="R24" s="14">
        <f t="shared" si="5"/>
        <v>1088</v>
      </c>
      <c r="S24" s="15">
        <f t="shared" si="6"/>
        <v>0.2245614035</v>
      </c>
      <c r="T24" s="11"/>
      <c r="U24" s="11"/>
      <c r="V24" s="11"/>
      <c r="W24" s="11"/>
      <c r="X24" s="11"/>
      <c r="Y24" s="11"/>
      <c r="Z24" s="11"/>
      <c r="AA24" s="11"/>
      <c r="AB24" s="11"/>
    </row>
    <row r="25" ht="14.25" customHeight="1">
      <c r="A25" s="20"/>
      <c r="B25" s="30"/>
      <c r="C25" s="17" t="s">
        <v>14</v>
      </c>
      <c r="D25" s="17">
        <f t="shared" ref="D25:Q25" si="9">SUM(D37:D38)</f>
        <v>3</v>
      </c>
      <c r="E25" s="17">
        <f t="shared" si="9"/>
        <v>5</v>
      </c>
      <c r="F25" s="17">
        <f t="shared" si="9"/>
        <v>15</v>
      </c>
      <c r="G25" s="17">
        <f t="shared" si="9"/>
        <v>10</v>
      </c>
      <c r="H25" s="17">
        <f t="shared" si="9"/>
        <v>20</v>
      </c>
      <c r="I25" s="17">
        <f t="shared" si="9"/>
        <v>14</v>
      </c>
      <c r="J25" s="17">
        <f t="shared" si="9"/>
        <v>15</v>
      </c>
      <c r="K25" s="17">
        <f t="shared" si="9"/>
        <v>5</v>
      </c>
      <c r="L25" s="17">
        <f t="shared" si="9"/>
        <v>8</v>
      </c>
      <c r="M25" s="17">
        <f t="shared" si="9"/>
        <v>9</v>
      </c>
      <c r="N25" s="17">
        <f t="shared" si="9"/>
        <v>10</v>
      </c>
      <c r="O25" s="17">
        <f t="shared" si="9"/>
        <v>4</v>
      </c>
      <c r="P25" s="17">
        <f t="shared" si="9"/>
        <v>4</v>
      </c>
      <c r="Q25" s="17">
        <f t="shared" si="9"/>
        <v>3</v>
      </c>
      <c r="R25" s="14">
        <f t="shared" si="5"/>
        <v>125</v>
      </c>
      <c r="S25" s="15">
        <f t="shared" si="6"/>
        <v>0.0257997936</v>
      </c>
      <c r="T25" s="11"/>
      <c r="U25" s="11"/>
      <c r="V25" s="11"/>
      <c r="W25" s="11"/>
      <c r="X25" s="11"/>
      <c r="Y25" s="11"/>
      <c r="Z25" s="11"/>
      <c r="AA25" s="11"/>
      <c r="AB25" s="11"/>
    </row>
    <row r="26" ht="14.25" customHeight="1">
      <c r="A26" s="20"/>
      <c r="B26" s="30"/>
      <c r="C26" s="17" t="s">
        <v>15</v>
      </c>
      <c r="D26" s="17">
        <f t="shared" ref="D26:Q26" si="10">SUM(D39:D40)</f>
        <v>61</v>
      </c>
      <c r="E26" s="17">
        <f t="shared" si="10"/>
        <v>85</v>
      </c>
      <c r="F26" s="17">
        <f t="shared" si="10"/>
        <v>57</v>
      </c>
      <c r="G26" s="17">
        <f t="shared" si="10"/>
        <v>71</v>
      </c>
      <c r="H26" s="17">
        <f t="shared" si="10"/>
        <v>60</v>
      </c>
      <c r="I26" s="17">
        <f t="shared" si="10"/>
        <v>70</v>
      </c>
      <c r="J26" s="17">
        <f t="shared" si="10"/>
        <v>60</v>
      </c>
      <c r="K26" s="17">
        <f t="shared" si="10"/>
        <v>44</v>
      </c>
      <c r="L26" s="17">
        <f t="shared" si="10"/>
        <v>81</v>
      </c>
      <c r="M26" s="17">
        <f t="shared" si="10"/>
        <v>98</v>
      </c>
      <c r="N26" s="17">
        <f t="shared" si="10"/>
        <v>99</v>
      </c>
      <c r="O26" s="17">
        <f t="shared" si="10"/>
        <v>114</v>
      </c>
      <c r="P26" s="17">
        <f t="shared" si="10"/>
        <v>98</v>
      </c>
      <c r="Q26" s="17">
        <f t="shared" si="10"/>
        <v>64</v>
      </c>
      <c r="R26" s="14">
        <f t="shared" si="5"/>
        <v>1062</v>
      </c>
      <c r="S26" s="15">
        <f t="shared" si="6"/>
        <v>0.2191950464</v>
      </c>
      <c r="T26" s="11"/>
      <c r="U26" s="11"/>
      <c r="V26" s="11"/>
      <c r="W26" s="11"/>
      <c r="X26" s="11"/>
      <c r="Y26" s="11"/>
      <c r="Z26" s="11"/>
      <c r="AA26" s="11"/>
      <c r="AB26" s="11"/>
    </row>
    <row r="27" ht="14.25" customHeight="1">
      <c r="A27" s="20"/>
      <c r="B27" s="30"/>
      <c r="C27" s="17" t="s">
        <v>16</v>
      </c>
      <c r="D27" s="17">
        <v>5.0</v>
      </c>
      <c r="E27" s="17">
        <v>12.0</v>
      </c>
      <c r="F27" s="17">
        <v>11.0</v>
      </c>
      <c r="G27" s="17">
        <v>9.0</v>
      </c>
      <c r="H27" s="17">
        <v>4.0</v>
      </c>
      <c r="I27" s="17">
        <v>2.0</v>
      </c>
      <c r="J27" s="17">
        <v>3.0</v>
      </c>
      <c r="K27" s="17">
        <v>4.0</v>
      </c>
      <c r="L27" s="17">
        <v>4.0</v>
      </c>
      <c r="M27" s="17">
        <v>4.0</v>
      </c>
      <c r="N27" s="17">
        <v>4.0</v>
      </c>
      <c r="O27" s="17">
        <v>10.0</v>
      </c>
      <c r="P27" s="17">
        <v>13.0</v>
      </c>
      <c r="Q27" s="17">
        <v>5.0</v>
      </c>
      <c r="R27" s="14">
        <f t="shared" si="5"/>
        <v>90</v>
      </c>
      <c r="S27" s="15">
        <f t="shared" si="6"/>
        <v>0.01857585139</v>
      </c>
      <c r="T27" s="11"/>
      <c r="U27" s="11"/>
      <c r="V27" s="11"/>
      <c r="W27" s="11"/>
      <c r="X27" s="11"/>
      <c r="Y27" s="11"/>
      <c r="Z27" s="11"/>
      <c r="AA27" s="11"/>
      <c r="AB27" s="11"/>
    </row>
    <row r="28" ht="14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1"/>
      <c r="U28" s="11"/>
      <c r="V28" s="11"/>
      <c r="W28" s="11"/>
      <c r="X28" s="11"/>
      <c r="Y28" s="11"/>
      <c r="Z28" s="11"/>
      <c r="AA28" s="11"/>
      <c r="AB28" s="11"/>
    </row>
    <row r="29" ht="14.25" customHeight="1">
      <c r="A29" s="31"/>
      <c r="B29" s="31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3"/>
      <c r="T29" s="11"/>
      <c r="U29" s="11"/>
      <c r="V29" s="11"/>
      <c r="W29" s="11"/>
      <c r="X29" s="11"/>
      <c r="Y29" s="11"/>
      <c r="Z29" s="11"/>
      <c r="AA29" s="11"/>
      <c r="AB29" s="11"/>
    </row>
    <row r="30" ht="14.25" customHeight="1">
      <c r="A30" s="9"/>
      <c r="B30" s="9"/>
      <c r="C30" s="10" t="s">
        <v>29</v>
      </c>
      <c r="T30" s="11"/>
      <c r="U30" s="11"/>
      <c r="V30" s="11"/>
      <c r="W30" s="11"/>
      <c r="X30" s="11"/>
      <c r="Y30" s="11"/>
      <c r="Z30" s="11"/>
      <c r="AA30" s="11"/>
      <c r="AB30" s="11"/>
    </row>
    <row r="31" ht="14.25" customHeight="1">
      <c r="A31" s="20"/>
      <c r="B31" s="29"/>
      <c r="C31" s="12" t="s">
        <v>28</v>
      </c>
      <c r="D31" s="13">
        <v>6.0</v>
      </c>
      <c r="E31" s="13">
        <v>7.0</v>
      </c>
      <c r="F31" s="13">
        <v>8.0</v>
      </c>
      <c r="G31" s="13">
        <v>9.0</v>
      </c>
      <c r="H31" s="13">
        <v>10.0</v>
      </c>
      <c r="I31" s="13">
        <v>11.0</v>
      </c>
      <c r="J31" s="13">
        <v>12.0</v>
      </c>
      <c r="K31" s="13">
        <v>13.0</v>
      </c>
      <c r="L31" s="13">
        <v>14.0</v>
      </c>
      <c r="M31" s="13">
        <v>15.0</v>
      </c>
      <c r="N31" s="13">
        <v>16.0</v>
      </c>
      <c r="O31" s="13">
        <v>17.0</v>
      </c>
      <c r="P31" s="13">
        <v>18.0</v>
      </c>
      <c r="Q31" s="13">
        <v>19.0</v>
      </c>
      <c r="R31" s="14" t="s">
        <v>20</v>
      </c>
      <c r="S31" s="15" t="s">
        <v>21</v>
      </c>
      <c r="T31" s="11"/>
      <c r="U31" s="11"/>
      <c r="V31" s="11"/>
      <c r="W31" s="11"/>
      <c r="X31" s="11"/>
      <c r="Y31" s="11"/>
      <c r="Z31" s="11"/>
      <c r="AA31" s="11"/>
      <c r="AB31" s="11"/>
    </row>
    <row r="32" ht="14.25" customHeight="1">
      <c r="A32" s="20"/>
      <c r="B32" s="30"/>
      <c r="C32" s="34" t="s">
        <v>30</v>
      </c>
      <c r="D32" s="35">
        <v>5.0</v>
      </c>
      <c r="E32" s="36">
        <v>8.0</v>
      </c>
      <c r="F32" s="35">
        <v>4.0</v>
      </c>
      <c r="G32" s="35">
        <v>9.0</v>
      </c>
      <c r="H32" s="35">
        <v>5.0</v>
      </c>
      <c r="I32" s="35">
        <v>20.0</v>
      </c>
      <c r="J32" s="35">
        <v>11.0</v>
      </c>
      <c r="K32" s="35">
        <v>11.0</v>
      </c>
      <c r="L32" s="35">
        <v>4.0</v>
      </c>
      <c r="M32" s="35">
        <v>1.0</v>
      </c>
      <c r="N32" s="35">
        <v>12.0</v>
      </c>
      <c r="O32" s="35">
        <v>15.0</v>
      </c>
      <c r="P32" s="35">
        <v>9.0</v>
      </c>
      <c r="Q32" s="35">
        <v>9.0</v>
      </c>
      <c r="R32" s="14">
        <f t="shared" ref="R32:R49" si="11">SUM(D32:Q32)</f>
        <v>123</v>
      </c>
      <c r="S32" s="15">
        <f t="shared" ref="S32:S49" si="12">R32/$R$15</f>
        <v>0.0253869969</v>
      </c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20"/>
      <c r="B33" s="30"/>
      <c r="C33" s="17" t="s">
        <v>31</v>
      </c>
      <c r="D33" s="17">
        <v>2.0</v>
      </c>
      <c r="E33" s="17">
        <v>7.0</v>
      </c>
      <c r="F33" s="17">
        <v>1.0</v>
      </c>
      <c r="G33" s="17">
        <v>0.0</v>
      </c>
      <c r="H33" s="17">
        <v>4.0</v>
      </c>
      <c r="I33" s="17">
        <v>5.0</v>
      </c>
      <c r="J33" s="17">
        <v>3.0</v>
      </c>
      <c r="K33" s="17">
        <v>6.0</v>
      </c>
      <c r="L33" s="17">
        <v>7.0</v>
      </c>
      <c r="M33" s="17">
        <v>8.0</v>
      </c>
      <c r="N33" s="17">
        <v>3.0</v>
      </c>
      <c r="O33" s="17">
        <v>18.0</v>
      </c>
      <c r="P33" s="17">
        <v>12.0</v>
      </c>
      <c r="Q33" s="17">
        <v>14.0</v>
      </c>
      <c r="R33" s="14">
        <f t="shared" si="11"/>
        <v>90</v>
      </c>
      <c r="S33" s="15">
        <f t="shared" si="12"/>
        <v>0.01857585139</v>
      </c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20"/>
      <c r="B34" s="30"/>
      <c r="C34" s="34" t="s">
        <v>32</v>
      </c>
      <c r="D34" s="35">
        <v>0.0</v>
      </c>
      <c r="E34" s="36">
        <v>1.0</v>
      </c>
      <c r="F34" s="35">
        <v>1.0</v>
      </c>
      <c r="G34" s="35">
        <v>1.0</v>
      </c>
      <c r="H34" s="35">
        <v>1.0</v>
      </c>
      <c r="I34" s="35">
        <v>2.0</v>
      </c>
      <c r="J34" s="35">
        <v>2.0</v>
      </c>
      <c r="K34" s="35">
        <v>4.0</v>
      </c>
      <c r="L34" s="35">
        <v>3.0</v>
      </c>
      <c r="M34" s="35">
        <v>3.0</v>
      </c>
      <c r="N34" s="35">
        <v>1.0</v>
      </c>
      <c r="O34" s="35">
        <v>1.0</v>
      </c>
      <c r="P34" s="35">
        <v>2.0</v>
      </c>
      <c r="Q34" s="35">
        <v>1.0</v>
      </c>
      <c r="R34" s="14">
        <f t="shared" si="11"/>
        <v>23</v>
      </c>
      <c r="S34" s="15">
        <f t="shared" si="12"/>
        <v>0.004747162023</v>
      </c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20"/>
      <c r="B35" s="30"/>
      <c r="C35" s="17" t="s">
        <v>33</v>
      </c>
      <c r="D35" s="17">
        <v>30.0</v>
      </c>
      <c r="E35" s="17">
        <v>49.0</v>
      </c>
      <c r="F35" s="17">
        <v>82.0</v>
      </c>
      <c r="G35" s="17">
        <v>73.0</v>
      </c>
      <c r="H35" s="17">
        <v>67.0</v>
      </c>
      <c r="I35" s="17">
        <v>69.0</v>
      </c>
      <c r="J35" s="17">
        <v>45.0</v>
      </c>
      <c r="K35" s="17">
        <v>44.0</v>
      </c>
      <c r="L35" s="17">
        <v>39.0</v>
      </c>
      <c r="M35" s="17">
        <v>63.0</v>
      </c>
      <c r="N35" s="17">
        <v>67.0</v>
      </c>
      <c r="O35" s="17">
        <v>57.0</v>
      </c>
      <c r="P35" s="17">
        <v>23.0</v>
      </c>
      <c r="Q35" s="17">
        <v>21.0</v>
      </c>
      <c r="R35" s="14">
        <f t="shared" si="11"/>
        <v>729</v>
      </c>
      <c r="S35" s="15">
        <f t="shared" si="12"/>
        <v>0.1504643963</v>
      </c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20"/>
      <c r="B36" s="30"/>
      <c r="C36" s="34" t="s">
        <v>34</v>
      </c>
      <c r="D36" s="35">
        <v>37.0</v>
      </c>
      <c r="E36" s="36">
        <v>39.0</v>
      </c>
      <c r="F36" s="35">
        <v>42.0</v>
      </c>
      <c r="G36" s="35">
        <v>31.0</v>
      </c>
      <c r="H36" s="35">
        <v>25.0</v>
      </c>
      <c r="I36" s="35">
        <v>21.0</v>
      </c>
      <c r="J36" s="35">
        <v>14.0</v>
      </c>
      <c r="K36" s="35">
        <v>15.0</v>
      </c>
      <c r="L36" s="35">
        <v>22.0</v>
      </c>
      <c r="M36" s="35">
        <v>22.0</v>
      </c>
      <c r="N36" s="35">
        <v>32.0</v>
      </c>
      <c r="O36" s="35">
        <v>25.0</v>
      </c>
      <c r="P36" s="35">
        <v>20.0</v>
      </c>
      <c r="Q36" s="35">
        <v>14.0</v>
      </c>
      <c r="R36" s="14">
        <f t="shared" si="11"/>
        <v>359</v>
      </c>
      <c r="S36" s="15">
        <f t="shared" si="12"/>
        <v>0.07409700722</v>
      </c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20"/>
      <c r="B37" s="30"/>
      <c r="C37" s="17" t="s">
        <v>14</v>
      </c>
      <c r="D37" s="17">
        <v>1.0</v>
      </c>
      <c r="E37" s="17">
        <v>1.0</v>
      </c>
      <c r="F37" s="17">
        <v>3.0</v>
      </c>
      <c r="G37" s="17">
        <v>6.0</v>
      </c>
      <c r="H37" s="17">
        <v>15.0</v>
      </c>
      <c r="I37" s="17">
        <v>12.0</v>
      </c>
      <c r="J37" s="17">
        <v>8.0</v>
      </c>
      <c r="K37" s="17">
        <v>1.0</v>
      </c>
      <c r="L37" s="17">
        <v>5.0</v>
      </c>
      <c r="M37" s="17">
        <v>6.0</v>
      </c>
      <c r="N37" s="17">
        <v>9.0</v>
      </c>
      <c r="O37" s="17">
        <v>1.0</v>
      </c>
      <c r="P37" s="17">
        <v>0.0</v>
      </c>
      <c r="Q37" s="17">
        <v>1.0</v>
      </c>
      <c r="R37" s="14">
        <f t="shared" si="11"/>
        <v>69</v>
      </c>
      <c r="S37" s="15">
        <f t="shared" si="12"/>
        <v>0.01424148607</v>
      </c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20"/>
      <c r="B38" s="30"/>
      <c r="C38" s="34" t="s">
        <v>35</v>
      </c>
      <c r="D38" s="35">
        <v>2.0</v>
      </c>
      <c r="E38" s="36">
        <v>4.0</v>
      </c>
      <c r="F38" s="35">
        <v>12.0</v>
      </c>
      <c r="G38" s="35">
        <v>4.0</v>
      </c>
      <c r="H38" s="35">
        <v>5.0</v>
      </c>
      <c r="I38" s="35">
        <v>2.0</v>
      </c>
      <c r="J38" s="35">
        <v>7.0</v>
      </c>
      <c r="K38" s="35">
        <v>4.0</v>
      </c>
      <c r="L38" s="35">
        <v>3.0</v>
      </c>
      <c r="M38" s="35">
        <v>3.0</v>
      </c>
      <c r="N38" s="35">
        <v>1.0</v>
      </c>
      <c r="O38" s="35">
        <v>3.0</v>
      </c>
      <c r="P38" s="35">
        <v>4.0</v>
      </c>
      <c r="Q38" s="35">
        <v>2.0</v>
      </c>
      <c r="R38" s="14">
        <f t="shared" si="11"/>
        <v>56</v>
      </c>
      <c r="S38" s="15">
        <f t="shared" si="12"/>
        <v>0.01155830753</v>
      </c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20"/>
      <c r="B39" s="30"/>
      <c r="C39" s="17" t="s">
        <v>15</v>
      </c>
      <c r="D39" s="17">
        <v>57.0</v>
      </c>
      <c r="E39" s="37">
        <v>70.0</v>
      </c>
      <c r="F39" s="17">
        <v>49.0</v>
      </c>
      <c r="G39" s="17">
        <v>60.0</v>
      </c>
      <c r="H39" s="17">
        <v>53.0</v>
      </c>
      <c r="I39" s="17">
        <v>66.0</v>
      </c>
      <c r="J39" s="17">
        <v>51.0</v>
      </c>
      <c r="K39" s="17">
        <v>44.0</v>
      </c>
      <c r="L39" s="17">
        <v>73.0</v>
      </c>
      <c r="M39" s="17">
        <v>89.0</v>
      </c>
      <c r="N39" s="17">
        <v>93.0</v>
      </c>
      <c r="O39" s="17">
        <v>114.0</v>
      </c>
      <c r="P39" s="17">
        <v>98.0</v>
      </c>
      <c r="Q39" s="17">
        <v>62.0</v>
      </c>
      <c r="R39" s="14">
        <f t="shared" si="11"/>
        <v>979</v>
      </c>
      <c r="S39" s="15">
        <f t="shared" si="12"/>
        <v>0.2020639835</v>
      </c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20"/>
      <c r="B40" s="30"/>
      <c r="C40" s="17" t="s">
        <v>36</v>
      </c>
      <c r="D40" s="17">
        <v>4.0</v>
      </c>
      <c r="E40" s="17">
        <v>15.0</v>
      </c>
      <c r="F40" s="17">
        <v>8.0</v>
      </c>
      <c r="G40" s="17">
        <v>11.0</v>
      </c>
      <c r="H40" s="17">
        <v>7.0</v>
      </c>
      <c r="I40" s="17">
        <v>4.0</v>
      </c>
      <c r="J40" s="17">
        <v>9.0</v>
      </c>
      <c r="K40" s="17">
        <v>0.0</v>
      </c>
      <c r="L40" s="17">
        <v>8.0</v>
      </c>
      <c r="M40" s="17">
        <v>9.0</v>
      </c>
      <c r="N40" s="17">
        <v>6.0</v>
      </c>
      <c r="O40" s="17">
        <v>0.0</v>
      </c>
      <c r="P40" s="17">
        <v>0.0</v>
      </c>
      <c r="Q40" s="17">
        <v>2.0</v>
      </c>
      <c r="R40" s="14">
        <f t="shared" si="11"/>
        <v>83</v>
      </c>
      <c r="S40" s="15">
        <f t="shared" si="12"/>
        <v>0.01713106295</v>
      </c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20"/>
      <c r="B41" s="30"/>
      <c r="C41" s="17" t="s">
        <v>37</v>
      </c>
      <c r="D41" s="17">
        <v>0.0</v>
      </c>
      <c r="E41" s="17">
        <v>2.0</v>
      </c>
      <c r="F41" s="17">
        <v>1.0</v>
      </c>
      <c r="G41" s="17">
        <v>1.0</v>
      </c>
      <c r="H41" s="17">
        <v>1.0</v>
      </c>
      <c r="I41" s="17">
        <v>0.0</v>
      </c>
      <c r="J41" s="17">
        <v>0.0</v>
      </c>
      <c r="K41" s="17">
        <v>0.0</v>
      </c>
      <c r="L41" s="17">
        <v>1.0</v>
      </c>
      <c r="M41" s="17">
        <v>0.0</v>
      </c>
      <c r="N41" s="17">
        <v>0.0</v>
      </c>
      <c r="O41" s="37">
        <v>0.0</v>
      </c>
      <c r="P41" s="17">
        <v>1.0</v>
      </c>
      <c r="Q41" s="17">
        <v>1.0</v>
      </c>
      <c r="R41" s="14">
        <f t="shared" si="11"/>
        <v>8</v>
      </c>
      <c r="S41" s="15">
        <f t="shared" si="12"/>
        <v>0.001651186791</v>
      </c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20"/>
      <c r="B42" s="30"/>
      <c r="C42" s="17" t="s">
        <v>38</v>
      </c>
      <c r="D42" s="17">
        <v>0.0</v>
      </c>
      <c r="E42" s="17">
        <v>0.0</v>
      </c>
      <c r="F42" s="17">
        <v>0.0</v>
      </c>
      <c r="G42" s="17">
        <v>6.0</v>
      </c>
      <c r="H42" s="17">
        <v>5.0</v>
      </c>
      <c r="I42" s="17">
        <v>2.0</v>
      </c>
      <c r="J42" s="17">
        <v>1.0</v>
      </c>
      <c r="K42" s="17">
        <v>1.0</v>
      </c>
      <c r="L42" s="17">
        <v>13.0</v>
      </c>
      <c r="M42" s="17">
        <v>3.0</v>
      </c>
      <c r="N42" s="17">
        <v>5.0</v>
      </c>
      <c r="O42" s="37">
        <v>7.0</v>
      </c>
      <c r="P42" s="17">
        <v>0.0</v>
      </c>
      <c r="Q42" s="17">
        <v>3.0</v>
      </c>
      <c r="R42" s="14">
        <f t="shared" si="11"/>
        <v>46</v>
      </c>
      <c r="S42" s="15">
        <f t="shared" si="12"/>
        <v>0.009494324045</v>
      </c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20"/>
      <c r="B43" s="30"/>
      <c r="C43" s="17" t="s">
        <v>39</v>
      </c>
      <c r="D43" s="17">
        <v>0.0</v>
      </c>
      <c r="E43" s="17">
        <v>1.0</v>
      </c>
      <c r="F43" s="17">
        <v>0.0</v>
      </c>
      <c r="G43" s="17">
        <v>1.0</v>
      </c>
      <c r="H43" s="17">
        <v>0.0</v>
      </c>
      <c r="I43" s="17">
        <v>0.0</v>
      </c>
      <c r="J43" s="17">
        <v>2.0</v>
      </c>
      <c r="K43" s="17">
        <v>3.0</v>
      </c>
      <c r="L43" s="17">
        <v>1.0</v>
      </c>
      <c r="M43" s="17">
        <v>1.0</v>
      </c>
      <c r="N43" s="37">
        <v>0.0</v>
      </c>
      <c r="O43" s="17">
        <v>0.0</v>
      </c>
      <c r="P43" s="17">
        <v>0.0</v>
      </c>
      <c r="Q43" s="17">
        <v>0.0</v>
      </c>
      <c r="R43" s="14">
        <f t="shared" si="11"/>
        <v>9</v>
      </c>
      <c r="S43" s="15">
        <f t="shared" si="12"/>
        <v>0.001857585139</v>
      </c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20"/>
      <c r="B44" s="30"/>
      <c r="C44" s="17" t="s">
        <v>40</v>
      </c>
      <c r="D44" s="17">
        <v>4.0</v>
      </c>
      <c r="E44" s="17">
        <v>0.0</v>
      </c>
      <c r="F44" s="17">
        <v>1.0</v>
      </c>
      <c r="G44" s="17">
        <v>0.0</v>
      </c>
      <c r="H44" s="17">
        <v>0.0</v>
      </c>
      <c r="I44" s="17">
        <v>0.0</v>
      </c>
      <c r="J44" s="17">
        <v>0.0</v>
      </c>
      <c r="K44" s="17">
        <v>4.0</v>
      </c>
      <c r="L44" s="17">
        <v>0.0</v>
      </c>
      <c r="M44" s="17">
        <v>4.0</v>
      </c>
      <c r="N44" s="37">
        <v>1.0</v>
      </c>
      <c r="O44" s="17">
        <v>0.0</v>
      </c>
      <c r="P44" s="17">
        <v>0.0</v>
      </c>
      <c r="Q44" s="17">
        <v>0.0</v>
      </c>
      <c r="R44" s="14">
        <f t="shared" si="11"/>
        <v>14</v>
      </c>
      <c r="S44" s="15">
        <f t="shared" si="12"/>
        <v>0.002889576883</v>
      </c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20"/>
      <c r="B45" s="30"/>
      <c r="C45" s="17" t="s">
        <v>41</v>
      </c>
      <c r="D45" s="17">
        <v>0.0</v>
      </c>
      <c r="E45" s="17">
        <v>0.0</v>
      </c>
      <c r="F45" s="17">
        <v>0.0</v>
      </c>
      <c r="G45" s="17">
        <v>0.0</v>
      </c>
      <c r="H45" s="17">
        <v>1.0</v>
      </c>
      <c r="I45" s="17">
        <v>0.0</v>
      </c>
      <c r="J45" s="17">
        <v>0.0</v>
      </c>
      <c r="K45" s="17">
        <v>0.0</v>
      </c>
      <c r="L45" s="17">
        <v>0.0</v>
      </c>
      <c r="M45" s="17">
        <v>0.0</v>
      </c>
      <c r="N45" s="37">
        <v>0.0</v>
      </c>
      <c r="O45" s="17">
        <v>0.0</v>
      </c>
      <c r="P45" s="17">
        <v>0.0</v>
      </c>
      <c r="Q45" s="17">
        <v>1.0</v>
      </c>
      <c r="R45" s="14">
        <f t="shared" si="11"/>
        <v>2</v>
      </c>
      <c r="S45" s="15">
        <f t="shared" si="12"/>
        <v>0.0004127966976</v>
      </c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20"/>
      <c r="B46" s="30"/>
      <c r="C46" s="17" t="s">
        <v>42</v>
      </c>
      <c r="D46" s="17">
        <v>7.0</v>
      </c>
      <c r="E46" s="17">
        <v>16.0</v>
      </c>
      <c r="F46" s="17">
        <v>0.0</v>
      </c>
      <c r="G46" s="17">
        <v>17.0</v>
      </c>
      <c r="H46" s="17">
        <v>7.0</v>
      </c>
      <c r="I46" s="17">
        <v>3.0</v>
      </c>
      <c r="J46" s="17">
        <v>4.0</v>
      </c>
      <c r="K46" s="17">
        <v>9.0</v>
      </c>
      <c r="L46" s="17">
        <v>10.0</v>
      </c>
      <c r="M46" s="17">
        <v>9.0</v>
      </c>
      <c r="N46" s="37">
        <v>15.0</v>
      </c>
      <c r="O46" s="17">
        <v>9.0</v>
      </c>
      <c r="P46" s="17">
        <v>8.0</v>
      </c>
      <c r="Q46" s="17">
        <v>7.0</v>
      </c>
      <c r="R46" s="14">
        <f t="shared" si="11"/>
        <v>121</v>
      </c>
      <c r="S46" s="15">
        <f t="shared" si="12"/>
        <v>0.02497420021</v>
      </c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9"/>
      <c r="B47" s="38"/>
      <c r="C47" s="17" t="s">
        <v>43</v>
      </c>
      <c r="D47" s="17">
        <v>0.0</v>
      </c>
      <c r="E47" s="17">
        <v>0.0</v>
      </c>
      <c r="F47" s="17">
        <v>0.0</v>
      </c>
      <c r="G47" s="17">
        <v>0.0</v>
      </c>
      <c r="H47" s="17">
        <v>0.0</v>
      </c>
      <c r="I47" s="17">
        <v>1.0</v>
      </c>
      <c r="J47" s="17">
        <v>1.0</v>
      </c>
      <c r="K47" s="17">
        <v>0.0</v>
      </c>
      <c r="L47" s="17">
        <v>1.0</v>
      </c>
      <c r="M47" s="17">
        <v>0.0</v>
      </c>
      <c r="N47" s="37">
        <v>0.0</v>
      </c>
      <c r="O47" s="17">
        <v>0.0</v>
      </c>
      <c r="P47" s="17">
        <v>0.0</v>
      </c>
      <c r="Q47" s="17">
        <v>1.0</v>
      </c>
      <c r="R47" s="14">
        <f t="shared" si="11"/>
        <v>4</v>
      </c>
      <c r="S47" s="15">
        <f t="shared" si="12"/>
        <v>0.0008255933953</v>
      </c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9"/>
      <c r="B48" s="38"/>
      <c r="C48" s="17" t="s">
        <v>44</v>
      </c>
      <c r="D48" s="17">
        <v>33.0</v>
      </c>
      <c r="E48" s="17">
        <v>37.0</v>
      </c>
      <c r="F48" s="17">
        <v>15.0</v>
      </c>
      <c r="G48" s="17">
        <v>55.0</v>
      </c>
      <c r="H48" s="17">
        <v>58.0</v>
      </c>
      <c r="I48" s="17">
        <v>45.0</v>
      </c>
      <c r="J48" s="17">
        <v>54.0</v>
      </c>
      <c r="K48" s="17">
        <v>36.0</v>
      </c>
      <c r="L48" s="17">
        <v>25.0</v>
      </c>
      <c r="M48" s="17">
        <v>35.0</v>
      </c>
      <c r="N48" s="37">
        <v>72.0</v>
      </c>
      <c r="O48" s="17">
        <v>23.0</v>
      </c>
      <c r="P48" s="17">
        <v>29.0</v>
      </c>
      <c r="Q48" s="17">
        <v>17.0</v>
      </c>
      <c r="R48" s="14">
        <f t="shared" si="11"/>
        <v>534</v>
      </c>
      <c r="S48" s="15">
        <f t="shared" si="12"/>
        <v>0.1102167183</v>
      </c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9"/>
      <c r="B49" s="38"/>
      <c r="C49" s="17" t="s">
        <v>45</v>
      </c>
      <c r="D49" s="17">
        <v>0.0</v>
      </c>
      <c r="E49" s="17">
        <v>1.0</v>
      </c>
      <c r="F49" s="17">
        <v>1.0</v>
      </c>
      <c r="G49" s="17">
        <v>1.0</v>
      </c>
      <c r="H49" s="17">
        <v>0.0</v>
      </c>
      <c r="I49" s="17">
        <v>0.0</v>
      </c>
      <c r="J49" s="17">
        <v>0.0</v>
      </c>
      <c r="K49" s="17">
        <v>1.0</v>
      </c>
      <c r="L49" s="17">
        <v>4.0</v>
      </c>
      <c r="M49" s="17">
        <v>4.0</v>
      </c>
      <c r="N49" s="17">
        <v>4.0</v>
      </c>
      <c r="O49" s="17">
        <v>0.0</v>
      </c>
      <c r="P49" s="17">
        <v>1.0</v>
      </c>
      <c r="Q49" s="17">
        <v>0.0</v>
      </c>
      <c r="R49" s="14">
        <f t="shared" si="11"/>
        <v>17</v>
      </c>
      <c r="S49" s="15">
        <f t="shared" si="12"/>
        <v>0.00350877193</v>
      </c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20"/>
      <c r="S50" s="39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4.2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ht="14.2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ht="14.2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ht="14.2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ht="14.2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ht="14.2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ht="14.2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ht="14.2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ht="14.2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ht="14.2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ht="14.2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ht="14.2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ht="14.2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ht="14.2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ht="14.2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ht="14.2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ht="14.2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ht="14.2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ht="14.2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ht="14.2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ht="14.2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ht="14.2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ht="14.2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ht="14.2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ht="14.2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ht="14.2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ht="14.2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ht="14.2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ht="14.2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ht="14.2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ht="14.2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ht="14.2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ht="14.2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ht="14.2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ht="14.2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ht="14.2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ht="14.2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ht="14.2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ht="14.2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ht="14.2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ht="14.2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ht="14.2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ht="14.2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ht="14.2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ht="14.2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ht="14.2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ht="14.2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ht="14.2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ht="14.2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ht="14.2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ht="14.2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ht="14.2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ht="14.2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ht="14.2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ht="14.2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ht="14.2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ht="14.2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ht="14.2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ht="14.2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ht="14.2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ht="14.2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ht="14.2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ht="14.2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ht="14.2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ht="14.2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ht="14.2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ht="14.2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ht="14.2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ht="14.2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ht="14.2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ht="14.2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ht="14.2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ht="14.2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ht="14.2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ht="14.2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ht="14.2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ht="14.2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ht="14.2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ht="14.2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ht="14.2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ht="14.2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ht="14.2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ht="14.2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ht="14.2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ht="14.2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ht="14.2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ht="14.2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ht="14.2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ht="14.2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ht="14.2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ht="14.2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ht="14.2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ht="14.2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ht="14.2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ht="14.2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ht="14.2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ht="14.2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ht="14.2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ht="14.2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ht="14.2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ht="14.2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ht="14.2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ht="14.2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ht="14.2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ht="14.2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ht="14.2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ht="14.2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ht="14.2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ht="14.2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ht="14.2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ht="14.2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ht="14.2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ht="14.2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ht="14.2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ht="14.2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ht="14.2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ht="14.2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ht="14.2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ht="14.2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ht="14.2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ht="14.2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ht="14.2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ht="14.2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ht="14.2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ht="14.2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ht="14.2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ht="14.2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ht="14.2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ht="14.2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ht="14.2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ht="14.2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ht="14.2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ht="14.2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ht="14.2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ht="14.2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ht="14.2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ht="14.2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ht="14.2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ht="14.2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ht="14.2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ht="14.2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ht="14.2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ht="14.2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ht="14.2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ht="14.2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ht="14.2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ht="14.2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ht="14.2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ht="14.2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ht="14.2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ht="14.2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ht="14.2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ht="14.2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ht="14.2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ht="14.2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ht="14.2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ht="14.2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ht="14.2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ht="14.2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ht="14.2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ht="14.2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ht="14.2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ht="14.2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ht="14.2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ht="14.2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ht="14.2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ht="14.2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ht="14.2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ht="14.2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ht="14.2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ht="14.2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ht="14.2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ht="14.2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ht="14.2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ht="14.2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ht="14.2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ht="14.2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ht="14.2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ht="14.2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ht="14.2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ht="14.2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ht="14.2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ht="14.2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ht="14.2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ht="14.2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ht="14.2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ht="14.2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ht="14.2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ht="14.2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ht="14.2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ht="14.2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ht="14.2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ht="14.2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ht="14.2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ht="14.2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ht="14.2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ht="14.2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ht="14.2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ht="14.2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ht="14.2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ht="14.2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ht="14.2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ht="14.2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ht="14.2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ht="14.2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ht="14.2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ht="14.2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ht="14.2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ht="14.2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ht="14.2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ht="14.2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ht="14.2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ht="14.2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ht="14.2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ht="14.2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ht="14.2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ht="14.2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ht="14.2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ht="14.2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ht="14.2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ht="14.2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ht="14.2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ht="14.2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ht="14.2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ht="14.2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ht="14.2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ht="14.2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ht="14.2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ht="14.2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ht="14.2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ht="14.2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ht="14.2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ht="14.2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ht="14.2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ht="14.2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ht="14.2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ht="14.2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ht="14.2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ht="14.2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ht="14.2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ht="14.2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ht="14.2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ht="14.2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ht="14.2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ht="14.2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ht="14.2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ht="14.2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ht="14.2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ht="14.2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ht="14.2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ht="14.2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ht="14.2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ht="14.2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ht="14.2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ht="14.2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ht="14.2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ht="14.2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ht="14.2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ht="14.2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ht="14.2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ht="14.2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ht="14.2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ht="14.2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ht="14.2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ht="14.2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ht="14.2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ht="14.2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ht="14.2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ht="14.2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ht="14.2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ht="14.2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ht="14.2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ht="14.2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ht="14.2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ht="14.2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ht="14.2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ht="14.2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ht="14.2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ht="14.2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ht="14.2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ht="14.2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ht="14.2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ht="14.2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ht="14.2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ht="14.2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ht="14.2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ht="14.2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ht="14.2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ht="14.2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ht="14.2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ht="14.2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ht="14.2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ht="14.2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ht="14.2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ht="14.2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ht="14.2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ht="14.2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ht="14.2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ht="14.2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ht="14.2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ht="14.2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ht="14.2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ht="14.2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ht="14.2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ht="14.2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ht="14.2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ht="14.2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ht="14.2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ht="14.2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ht="14.2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ht="14.2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ht="14.2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ht="14.2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ht="14.2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ht="14.2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ht="14.2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ht="14.2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ht="14.2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ht="14.2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ht="14.2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ht="14.2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ht="14.2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ht="14.2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ht="14.2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ht="14.2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ht="14.2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ht="14.2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ht="14.2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ht="14.2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ht="14.2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ht="14.2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ht="14.2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ht="14.2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ht="14.2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ht="14.2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ht="14.2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ht="14.2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ht="14.2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ht="14.2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ht="14.2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ht="14.2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ht="14.2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ht="14.2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ht="14.2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ht="14.2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ht="14.2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ht="14.2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ht="14.2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ht="14.2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ht="14.2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ht="14.2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ht="14.2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ht="14.2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ht="14.2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ht="14.2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ht="14.2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ht="14.2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ht="14.2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ht="14.2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ht="14.2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ht="14.2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ht="14.2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ht="14.2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ht="14.2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ht="14.2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ht="14.2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ht="14.2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ht="14.2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ht="14.2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ht="14.2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ht="14.2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ht="14.2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ht="14.2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ht="14.2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ht="14.2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ht="14.2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ht="14.2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ht="14.2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ht="14.2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ht="14.2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ht="14.2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ht="14.2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ht="14.2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ht="14.2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ht="14.2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ht="14.2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ht="14.2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ht="14.2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ht="14.2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ht="14.2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ht="14.2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ht="14.2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ht="14.2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ht="14.2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ht="14.2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ht="14.2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ht="14.2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ht="14.2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ht="14.2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ht="14.2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ht="14.2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ht="14.2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ht="14.2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ht="14.2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ht="14.2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ht="14.2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ht="14.2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ht="14.2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ht="14.2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ht="14.2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ht="14.2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ht="14.2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ht="14.2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ht="14.2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ht="14.2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ht="14.2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ht="14.2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ht="14.2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ht="14.2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ht="14.2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ht="14.2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ht="14.2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ht="14.2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ht="14.2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ht="14.2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ht="14.2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ht="14.2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ht="14.2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ht="14.2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ht="14.2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ht="14.2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ht="14.2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ht="14.2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ht="14.2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ht="14.2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ht="14.2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ht="14.2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ht="14.2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ht="14.2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ht="14.2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ht="14.2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ht="14.2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ht="14.2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ht="14.2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ht="14.2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ht="14.2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ht="14.2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ht="14.2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ht="14.2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ht="14.2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ht="14.2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ht="14.2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ht="14.2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ht="14.2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ht="14.2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ht="14.2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ht="14.2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ht="14.2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ht="14.2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ht="14.2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ht="14.2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ht="14.2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ht="14.2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ht="14.2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ht="14.2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ht="14.2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ht="14.2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ht="14.2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ht="14.2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ht="14.2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ht="14.2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ht="14.2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ht="14.2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ht="14.2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ht="14.2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ht="14.2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ht="14.2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ht="14.2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ht="14.2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ht="14.2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ht="14.2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ht="14.2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ht="14.2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ht="14.2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ht="14.2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ht="14.2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ht="14.2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ht="14.2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ht="14.2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ht="14.2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ht="14.2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ht="14.2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ht="14.2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ht="14.2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ht="14.2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ht="14.2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ht="14.2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ht="14.2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ht="14.2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ht="14.2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ht="14.2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ht="14.2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ht="14.2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ht="14.2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ht="14.2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ht="14.2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ht="14.2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ht="14.2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ht="14.2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ht="14.2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ht="14.2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ht="14.2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ht="14.2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ht="14.2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ht="14.2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ht="14.2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ht="14.2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ht="14.2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ht="14.2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ht="14.2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ht="14.2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ht="14.2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ht="14.2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ht="14.2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ht="14.2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ht="14.2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ht="14.2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ht="14.2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ht="14.2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ht="14.2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ht="14.2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ht="14.2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ht="14.2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ht="14.2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ht="14.2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ht="14.2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ht="14.2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ht="14.2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ht="14.2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ht="14.2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ht="14.2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ht="14.2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ht="14.2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ht="14.2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ht="14.2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ht="14.2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ht="14.2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ht="14.2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ht="14.2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ht="14.2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ht="14.2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ht="14.2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ht="14.2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ht="14.2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ht="14.2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ht="14.2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ht="14.2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ht="14.2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ht="14.2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ht="14.2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ht="14.2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ht="14.2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ht="14.2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ht="14.2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ht="14.2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ht="14.2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ht="14.2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ht="14.2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ht="14.2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ht="14.2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ht="14.2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ht="14.2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ht="14.2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ht="14.2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ht="14.2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ht="14.2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ht="14.2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ht="14.2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ht="14.2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ht="14.2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ht="14.2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ht="14.2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ht="14.2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ht="14.2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ht="14.2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ht="14.2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ht="14.2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ht="14.2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ht="14.2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ht="14.2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ht="14.2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ht="14.2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ht="14.2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ht="14.2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ht="14.2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ht="14.2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ht="14.2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ht="14.2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ht="14.2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ht="14.2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ht="14.2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ht="14.2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ht="14.2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ht="14.2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ht="14.2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ht="14.2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ht="14.2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ht="14.2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ht="14.2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ht="14.2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ht="14.2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ht="14.2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ht="14.2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ht="14.2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ht="14.2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ht="14.2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ht="14.2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ht="14.2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ht="14.2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ht="14.2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ht="14.2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ht="14.2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ht="14.2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ht="14.2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ht="14.2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ht="14.2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ht="14.2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ht="14.2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ht="14.2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ht="14.2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ht="14.2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ht="14.2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ht="14.2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ht="14.2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ht="14.2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ht="14.2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ht="14.2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ht="14.2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ht="14.2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ht="14.2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ht="14.2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ht="14.2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ht="14.2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ht="14.2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ht="14.2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ht="14.2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ht="14.2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ht="14.2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ht="14.2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ht="14.2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ht="14.2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ht="14.2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ht="14.2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ht="14.2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ht="14.2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ht="14.2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ht="14.2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ht="14.2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ht="14.2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ht="14.2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ht="14.2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ht="14.2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ht="14.2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ht="14.2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ht="14.2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ht="14.2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ht="14.2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ht="14.2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ht="14.2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ht="14.2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ht="14.2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ht="14.2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ht="14.2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ht="14.2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ht="14.2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ht="14.2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ht="14.2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ht="14.2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ht="14.2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ht="14.2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ht="14.2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ht="14.2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ht="14.2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ht="14.2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ht="14.2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ht="14.2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ht="14.2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ht="14.2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ht="14.2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ht="14.2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ht="14.2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ht="14.2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ht="14.2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ht="14.2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ht="14.2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ht="14.2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ht="14.2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ht="14.2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ht="14.2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ht="14.2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ht="14.2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ht="14.2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ht="14.2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ht="14.2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ht="14.2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ht="14.2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ht="14.2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ht="14.2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ht="14.2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ht="14.2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ht="14.2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ht="14.2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ht="14.2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ht="14.2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ht="14.2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ht="14.2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ht="14.2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ht="14.2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ht="14.2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ht="14.2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ht="14.2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ht="14.2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ht="14.2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ht="14.2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ht="14.2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ht="14.2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ht="14.2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ht="14.2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ht="14.2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ht="14.2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ht="14.2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ht="14.2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ht="14.2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ht="14.2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ht="14.2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ht="14.2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ht="14.2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ht="14.2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ht="14.2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ht="14.2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 ht="14.2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 ht="14.2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 ht="14.2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 ht="14.2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 ht="14.2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 ht="14.2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 ht="14.2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 ht="14.25" customHeight="1">
      <c r="A995" s="41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 ht="14.25" customHeight="1">
      <c r="A996" s="41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 ht="14.25" customHeight="1">
      <c r="A997" s="41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 ht="14.25" customHeight="1">
      <c r="A998" s="41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 ht="14.25" customHeight="1">
      <c r="A999" s="41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</sheetData>
  <mergeCells count="3">
    <mergeCell ref="B1:S1"/>
    <mergeCell ref="C18:S18"/>
    <mergeCell ref="C30:S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2" t="str">
        <f>Fluxo!A2</f>
        <v>TOTAL</v>
      </c>
      <c r="F1" s="42">
        <v>2.0</v>
      </c>
      <c r="G1" t="str">
        <f t="array" ref="G1:G28">TRANSPOSE(Dados!2:2)</f>
        <v/>
      </c>
    </row>
    <row r="2">
      <c r="F2" s="42">
        <v>3.0</v>
      </c>
      <c r="G2" t="s">
        <v>18</v>
      </c>
    </row>
    <row r="3">
      <c r="A3" t="str">
        <f>Dados!B3</f>
        <v>Caixa D'água </v>
      </c>
      <c r="B3" t="str">
        <f>Dados!C3</f>
        <v>Peixinhos</v>
      </c>
      <c r="F3" s="42">
        <v>4.0</v>
      </c>
      <c r="G3" t="s">
        <v>19</v>
      </c>
      <c r="Q3">
        <f>HLOOKUP($A$1,Dados!$D$2:$S$14,F1,0)</f>
        <v>551</v>
      </c>
    </row>
    <row r="4">
      <c r="A4" t="str">
        <f>Dados!B4</f>
        <v>Caixa D'água </v>
      </c>
      <c r="B4" t="str">
        <f>Dados!C4</f>
        <v>Olinda</v>
      </c>
      <c r="F4" s="42">
        <v>5.0</v>
      </c>
      <c r="G4">
        <v>6.0</v>
      </c>
      <c r="Q4">
        <f>HLOOKUP($A$1,Dados!$D$2:$S$14,F2,0)</f>
        <v>676</v>
      </c>
    </row>
    <row r="5">
      <c r="A5" t="str">
        <f>Dados!B5</f>
        <v>Caixa D'água </v>
      </c>
      <c r="B5" t="str">
        <f>Dados!C5</f>
        <v>Jardim Brasil</v>
      </c>
      <c r="F5" s="42">
        <v>6.0</v>
      </c>
      <c r="G5">
        <v>7.0</v>
      </c>
      <c r="Q5">
        <f>HLOOKUP($A$1,Dados!$D$2:$S$14,F3,0)</f>
        <v>151</v>
      </c>
    </row>
    <row r="6">
      <c r="A6" t="str">
        <f>Dados!B6</f>
        <v>Jardim Brasil</v>
      </c>
      <c r="B6" t="str">
        <f>Dados!C6</f>
        <v>Caixa D'água </v>
      </c>
      <c r="F6" s="42">
        <v>7.0</v>
      </c>
      <c r="G6">
        <v>8.0</v>
      </c>
      <c r="Q6">
        <f>HLOOKUP($A$1,Dados!$D$2:$S$14,F4,0)</f>
        <v>190</v>
      </c>
    </row>
    <row r="7">
      <c r="A7" t="str">
        <f>Dados!B7</f>
        <v>Jardim Brasil</v>
      </c>
      <c r="B7" t="str">
        <f>Dados!C7</f>
        <v>Peixinhos</v>
      </c>
      <c r="F7" s="42">
        <v>8.0</v>
      </c>
      <c r="G7">
        <v>9.0</v>
      </c>
      <c r="Q7">
        <f>HLOOKUP($A$1,Dados!$D$2:$S$14,F5,0)</f>
        <v>586</v>
      </c>
    </row>
    <row r="8">
      <c r="A8" t="str">
        <f>Dados!B8</f>
        <v>Jardim Brasil</v>
      </c>
      <c r="B8" t="str">
        <f>Dados!C8</f>
        <v>Olinda</v>
      </c>
      <c r="F8" s="42">
        <v>9.0</v>
      </c>
      <c r="G8">
        <v>10.0</v>
      </c>
      <c r="Q8">
        <f>HLOOKUP($A$1,Dados!$D$2:$S$14,F6,0)</f>
        <v>240</v>
      </c>
    </row>
    <row r="9">
      <c r="A9" t="str">
        <f>Dados!B9</f>
        <v>Olinda</v>
      </c>
      <c r="B9" t="str">
        <f>Dados!C9</f>
        <v>Jardim Brasil</v>
      </c>
      <c r="F9" s="42">
        <v>10.0</v>
      </c>
      <c r="G9">
        <v>11.0</v>
      </c>
      <c r="Q9">
        <f>HLOOKUP($A$1,Dados!$D$2:$S$14,F7,0)</f>
        <v>403</v>
      </c>
    </row>
    <row r="10">
      <c r="A10" t="str">
        <f>Dados!B10</f>
        <v>Olinda</v>
      </c>
      <c r="B10" t="str">
        <f>Dados!C10</f>
        <v>Caixa D'água </v>
      </c>
      <c r="F10" s="42">
        <v>11.0</v>
      </c>
      <c r="G10">
        <v>12.0</v>
      </c>
      <c r="Q10">
        <f>HLOOKUP($A$1,Dados!$D$2:$S$14,F8,0)</f>
        <v>685</v>
      </c>
    </row>
    <row r="11">
      <c r="A11" t="str">
        <f>Dados!B11</f>
        <v>Olinda</v>
      </c>
      <c r="B11" t="str">
        <f>Dados!C11</f>
        <v>Peixinhos</v>
      </c>
      <c r="F11" s="42">
        <v>12.0</v>
      </c>
      <c r="G11">
        <v>13.0</v>
      </c>
      <c r="Q11">
        <f>HLOOKUP($A$1,Dados!$D$2:$S$14,F9,0)</f>
        <v>237</v>
      </c>
    </row>
    <row r="12">
      <c r="A12" t="str">
        <f>Dados!B12</f>
        <v>Peixinhos</v>
      </c>
      <c r="B12" t="str">
        <f>Dados!C12</f>
        <v>Olinda</v>
      </c>
      <c r="F12" s="42">
        <v>13.0</v>
      </c>
      <c r="G12">
        <v>14.0</v>
      </c>
      <c r="Q12">
        <f>HLOOKUP($A$1,Dados!$D$2:$S$14,F10,0)</f>
        <v>164</v>
      </c>
    </row>
    <row r="13">
      <c r="A13" t="str">
        <f>Dados!B13</f>
        <v>Peixinhos</v>
      </c>
      <c r="B13" t="str">
        <f>Dados!C13</f>
        <v>Jardim Brasil</v>
      </c>
      <c r="G13">
        <v>15.0</v>
      </c>
      <c r="Q13">
        <f>HLOOKUP($A$1,Dados!$D$2:$S$14,F11,0)</f>
        <v>522</v>
      </c>
    </row>
    <row r="14">
      <c r="A14" t="str">
        <f>Dados!B14</f>
        <v>Peixinhos</v>
      </c>
      <c r="B14" t="str">
        <f>Dados!C14</f>
        <v>Caixa D'água </v>
      </c>
      <c r="G14">
        <v>16.0</v>
      </c>
      <c r="Q14">
        <f>HLOOKUP($A$1,Dados!$D$2:$S$14,F12,0)</f>
        <v>440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43" t="s">
        <v>21</v>
      </c>
    </row>
    <row r="20">
      <c r="G20" s="43"/>
    </row>
    <row r="21">
      <c r="G21" s="43"/>
    </row>
    <row r="22">
      <c r="G22" s="43"/>
    </row>
    <row r="23">
      <c r="G23" s="43"/>
    </row>
    <row r="24">
      <c r="G24" s="43"/>
    </row>
    <row r="25">
      <c r="G25" s="43"/>
    </row>
    <row r="26">
      <c r="G26" s="43"/>
    </row>
    <row r="27">
      <c r="G27" s="43"/>
    </row>
    <row r="28">
      <c r="G28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44" t="s">
        <v>46</v>
      </c>
    </row>
    <row r="2">
      <c r="A2" s="45" t="s">
        <v>47</v>
      </c>
      <c r="B2" s="46">
        <f>Dados!D2</f>
        <v>6</v>
      </c>
      <c r="C2" s="46">
        <f>Dados!E2</f>
        <v>7</v>
      </c>
      <c r="D2" s="46">
        <f>Dados!F2</f>
        <v>8</v>
      </c>
      <c r="E2" s="46">
        <f>Dados!G2</f>
        <v>9</v>
      </c>
      <c r="F2" s="46">
        <f>Dados!H2</f>
        <v>10</v>
      </c>
      <c r="G2" s="46">
        <f>Dados!I2</f>
        <v>11</v>
      </c>
      <c r="H2" s="46">
        <f>Dados!J2</f>
        <v>12</v>
      </c>
      <c r="I2" s="46">
        <f>Dados!K2</f>
        <v>13</v>
      </c>
      <c r="J2" s="46">
        <f>Dados!L2</f>
        <v>14</v>
      </c>
      <c r="K2" s="46">
        <f>Dados!M2</f>
        <v>15</v>
      </c>
      <c r="L2" s="46">
        <f>Dados!N2</f>
        <v>16</v>
      </c>
      <c r="M2" s="46">
        <f>Dados!O2</f>
        <v>17</v>
      </c>
      <c r="N2" s="46">
        <f>Dados!P2</f>
        <v>18</v>
      </c>
      <c r="O2" s="46">
        <f>Dados!Q2</f>
        <v>19</v>
      </c>
    </row>
    <row r="3">
      <c r="A3" s="47" t="s">
        <v>48</v>
      </c>
      <c r="B3" s="48">
        <f>Dados!D15-B4-B5</f>
        <v>306</v>
      </c>
      <c r="C3" s="48">
        <f>Dados!E15-C4-C5</f>
        <v>364</v>
      </c>
      <c r="D3" s="48">
        <f>Dados!F15-D4-D5</f>
        <v>352</v>
      </c>
      <c r="E3" s="48">
        <f>Dados!G15-E4-E5</f>
        <v>285</v>
      </c>
      <c r="F3" s="48">
        <f>Dados!H15-F4-F5</f>
        <v>354</v>
      </c>
      <c r="G3" s="48">
        <f>Dados!I15-G4-G5</f>
        <v>280</v>
      </c>
      <c r="H3" s="48">
        <f>Dados!J15-H4-H5</f>
        <v>316</v>
      </c>
      <c r="I3" s="48">
        <f>Dados!K15-I4-I5</f>
        <v>248</v>
      </c>
      <c r="J3" s="48">
        <f>Dados!L15-J4-J5</f>
        <v>220</v>
      </c>
      <c r="K3" s="48">
        <f>Dados!M15-K4-K5</f>
        <v>194</v>
      </c>
      <c r="L3" s="48">
        <f>Dados!N15-L4-L5</f>
        <v>355</v>
      </c>
      <c r="M3" s="48">
        <f>Dados!O15-M4-M5</f>
        <v>528</v>
      </c>
      <c r="N3" s="48">
        <f>Dados!P15-N4-N5</f>
        <v>370</v>
      </c>
      <c r="O3" s="48">
        <f>Dados!Q15-O4-O5</f>
        <v>213</v>
      </c>
    </row>
    <row r="4">
      <c r="A4" s="45" t="s">
        <v>49</v>
      </c>
      <c r="B4" s="46">
        <f>Dados!D20</f>
        <v>12</v>
      </c>
      <c r="C4" s="46">
        <f>Dados!E20</f>
        <v>36</v>
      </c>
      <c r="D4" s="46">
        <f>Dados!F20</f>
        <v>24</v>
      </c>
      <c r="E4" s="46">
        <f>Dados!G20</f>
        <v>28</v>
      </c>
      <c r="F4" s="46">
        <f>Dados!H20</f>
        <v>19</v>
      </c>
      <c r="G4" s="46">
        <f>Dados!I20</f>
        <v>23</v>
      </c>
      <c r="H4" s="46">
        <f>Dados!J20</f>
        <v>19</v>
      </c>
      <c r="I4" s="46">
        <f>Dados!K20</f>
        <v>34</v>
      </c>
      <c r="J4" s="49">
        <f>Dados!L20</f>
        <v>14</v>
      </c>
      <c r="K4" s="46">
        <f>Dados!M20</f>
        <v>33</v>
      </c>
      <c r="L4" s="46">
        <f>Dados!N20</f>
        <v>39</v>
      </c>
      <c r="M4" s="46">
        <f>Dados!O20</f>
        <v>40</v>
      </c>
      <c r="N4" s="46">
        <f>Dados!P20</f>
        <v>30</v>
      </c>
      <c r="O4" s="46">
        <f>Dados!Q20</f>
        <v>21</v>
      </c>
    </row>
    <row r="5">
      <c r="A5" s="47" t="s">
        <v>10</v>
      </c>
      <c r="B5" s="50">
        <f>Dados!D21</f>
        <v>0</v>
      </c>
      <c r="C5" s="50">
        <f>Dados!E21</f>
        <v>1</v>
      </c>
      <c r="D5" s="50">
        <f>Dados!F21</f>
        <v>3</v>
      </c>
      <c r="E5" s="50">
        <f>Dados!G21</f>
        <v>2</v>
      </c>
      <c r="F5" s="50">
        <f>Dados!H21</f>
        <v>10</v>
      </c>
      <c r="G5" s="50">
        <f>Dados!I21</f>
        <v>12</v>
      </c>
      <c r="H5" s="50">
        <f>Dados!J21</f>
        <v>18</v>
      </c>
      <c r="I5" s="50">
        <f>Dados!K21</f>
        <v>3</v>
      </c>
      <c r="J5" s="50">
        <f>Dados!L21</f>
        <v>13</v>
      </c>
      <c r="K5" s="50">
        <f>Dados!M21</f>
        <v>12</v>
      </c>
      <c r="L5" s="50">
        <f>Dados!N21</f>
        <v>7</v>
      </c>
      <c r="M5" s="50">
        <f>Dados!O21</f>
        <v>5</v>
      </c>
      <c r="N5" s="50">
        <f>Dados!P21</f>
        <v>0</v>
      </c>
      <c r="O5" s="50">
        <f>Dados!Q21</f>
        <v>2</v>
      </c>
    </row>
    <row r="7">
      <c r="A7" s="51" t="s">
        <v>50</v>
      </c>
    </row>
    <row r="8">
      <c r="A8" s="52" t="s">
        <v>51</v>
      </c>
      <c r="B8" s="46">
        <v>6.0</v>
      </c>
      <c r="C8" s="46">
        <v>7.0</v>
      </c>
      <c r="D8" s="46">
        <v>8.0</v>
      </c>
      <c r="E8" s="46">
        <v>9.0</v>
      </c>
      <c r="F8" s="46">
        <v>10.0</v>
      </c>
      <c r="G8" s="46">
        <v>11.0</v>
      </c>
      <c r="H8" s="46">
        <v>12.0</v>
      </c>
      <c r="I8" s="46">
        <v>13.0</v>
      </c>
      <c r="J8" s="46">
        <v>14.0</v>
      </c>
      <c r="K8" s="46">
        <v>15.0</v>
      </c>
      <c r="L8" s="46">
        <v>16.0</v>
      </c>
      <c r="M8" s="46">
        <v>17.0</v>
      </c>
      <c r="N8" s="46">
        <v>18.0</v>
      </c>
      <c r="O8" s="46">
        <v>19.0</v>
      </c>
    </row>
    <row r="9">
      <c r="A9" s="53" t="s">
        <v>49</v>
      </c>
      <c r="B9" s="54">
        <f>B4/Dados!D$15</f>
        <v>0.03773584906</v>
      </c>
      <c r="C9" s="54">
        <f>C4/Dados!E$15</f>
        <v>0.0897755611</v>
      </c>
      <c r="D9" s="54">
        <f>D4/Dados!F$15</f>
        <v>0.06332453826</v>
      </c>
      <c r="E9" s="54">
        <f>E4/Dados!G$15</f>
        <v>0.08888888889</v>
      </c>
      <c r="F9" s="54">
        <f>F4/Dados!H$15</f>
        <v>0.04960835509</v>
      </c>
      <c r="G9" s="54">
        <f>G4/Dados!I$15</f>
        <v>0.07301587302</v>
      </c>
      <c r="H9" s="54">
        <f>H4/Dados!J$15</f>
        <v>0.05382436261</v>
      </c>
      <c r="I9" s="54">
        <f>I4/Dados!K$15</f>
        <v>0.1192982456</v>
      </c>
      <c r="J9" s="54">
        <f>J4/Dados!L$15</f>
        <v>0.05668016194</v>
      </c>
      <c r="K9" s="54">
        <f>K4/Dados!M$15</f>
        <v>0.1380753138</v>
      </c>
      <c r="L9" s="54">
        <f>L4/Dados!N$15</f>
        <v>0.09725685786</v>
      </c>
      <c r="M9" s="54">
        <f>M4/Dados!O$15</f>
        <v>0.06980802792</v>
      </c>
      <c r="N9" s="54">
        <f>N4/Dados!P$15</f>
        <v>0.075</v>
      </c>
      <c r="O9" s="54">
        <f>O4/Dados!Q$15</f>
        <v>0.08898305085</v>
      </c>
    </row>
    <row r="10">
      <c r="A10" s="52" t="s">
        <v>10</v>
      </c>
      <c r="B10" s="55">
        <f>B5/Dados!D$15</f>
        <v>0</v>
      </c>
      <c r="C10" s="55">
        <f>C5/Dados!E$15</f>
        <v>0.002493765586</v>
      </c>
      <c r="D10" s="55">
        <f>D5/Dados!F$15</f>
        <v>0.007915567282</v>
      </c>
      <c r="E10" s="55">
        <f>E5/Dados!G$15</f>
        <v>0.006349206349</v>
      </c>
      <c r="F10" s="55">
        <f>F5/Dados!H$15</f>
        <v>0.02610966057</v>
      </c>
      <c r="G10" s="55">
        <f>G5/Dados!I$15</f>
        <v>0.0380952381</v>
      </c>
      <c r="H10" s="55">
        <f>H5/Dados!J$15</f>
        <v>0.05099150142</v>
      </c>
      <c r="I10" s="55">
        <f>I5/Dados!K$15</f>
        <v>0.01052631579</v>
      </c>
      <c r="J10" s="55">
        <f>J5/Dados!L$15</f>
        <v>0.05263157895</v>
      </c>
      <c r="K10" s="55">
        <f>K5/Dados!M$15</f>
        <v>0.05020920502</v>
      </c>
      <c r="L10" s="55">
        <f>L5/Dados!N$15</f>
        <v>0.0174563591</v>
      </c>
      <c r="M10" s="55">
        <f>M5/Dados!O$15</f>
        <v>0.00872600349</v>
      </c>
      <c r="N10" s="55">
        <f>N5/Dados!P$15</f>
        <v>0</v>
      </c>
      <c r="O10" s="55">
        <f>O5/Dados!Q$15</f>
        <v>0.008474576271</v>
      </c>
    </row>
    <row r="12">
      <c r="A12" s="56" t="str">
        <f>Dados!C19</f>
        <v>Característica</v>
      </c>
      <c r="B12" s="57" t="str">
        <f>Dados!S19</f>
        <v>%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</row>
    <row r="13">
      <c r="A13" s="56" t="str">
        <f>Dados!C20</f>
        <v>Mulher</v>
      </c>
      <c r="B13" s="57">
        <f>Dados!S20</f>
        <v>0.07678018576</v>
      </c>
    </row>
    <row r="14">
      <c r="A14" s="56" t="str">
        <f>Dados!C21</f>
        <v>Crianças e adolescentes</v>
      </c>
      <c r="B14" s="57">
        <f>Dados!S21</f>
        <v>0.0181630547</v>
      </c>
    </row>
    <row r="15">
      <c r="A15" s="56" t="str">
        <f>Dados!C22</f>
        <v>Capacete</v>
      </c>
      <c r="B15" s="57">
        <f>Dados!S22</f>
        <v>0.01857585139</v>
      </c>
    </row>
    <row r="16">
      <c r="A16" s="56" t="s">
        <v>12</v>
      </c>
      <c r="B16" s="57">
        <f>SUM(Dados!S32:S34)</f>
        <v>0.04871001032</v>
      </c>
    </row>
    <row r="17">
      <c r="A17" s="56" t="str">
        <f>Dados!C35</f>
        <v>Cargueira tradicional</v>
      </c>
      <c r="B17" s="57">
        <f>Dados!S35</f>
        <v>0.1504643963</v>
      </c>
    </row>
    <row r="18">
      <c r="A18" s="56" t="str">
        <f>Dados!C37</f>
        <v>Serviço</v>
      </c>
      <c r="B18" s="57">
        <f>Dados!S37</f>
        <v>0.01424148607</v>
      </c>
    </row>
    <row r="19">
      <c r="A19" s="56" t="str">
        <f>Dados!C39</f>
        <v>Contramão</v>
      </c>
      <c r="B19" s="57">
        <f>Dados!S39</f>
        <v>0.2020639835</v>
      </c>
    </row>
    <row r="20">
      <c r="A20" s="56" t="str">
        <f>Dados!C27</f>
        <v>Calçada</v>
      </c>
      <c r="B20" s="57">
        <f>Dados!S27</f>
        <v>0.01857585139</v>
      </c>
    </row>
    <row r="21">
      <c r="A21" s="58"/>
      <c r="B21" s="58"/>
    </row>
    <row r="22">
      <c r="A22" s="58"/>
      <c r="B22" s="58"/>
    </row>
    <row r="23">
      <c r="A23" s="58"/>
      <c r="B23" s="58"/>
    </row>
    <row r="24">
      <c r="A24" s="58"/>
      <c r="B24" s="58"/>
    </row>
    <row r="25">
      <c r="A25" s="58"/>
      <c r="B25" s="58"/>
    </row>
    <row r="26">
      <c r="A26" s="58"/>
      <c r="B26" s="58"/>
    </row>
    <row r="27">
      <c r="A27" s="58"/>
      <c r="B27" s="58"/>
    </row>
    <row r="28">
      <c r="A28" s="58"/>
      <c r="B28" s="58"/>
    </row>
    <row r="29">
      <c r="A29" s="58"/>
      <c r="B29" s="58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9" t="s">
        <v>52</v>
      </c>
      <c r="B1" s="60"/>
      <c r="C1" s="61"/>
      <c r="D1" s="62"/>
      <c r="E1" s="63" t="str">
        <f>UPPER(CONFFLUXO!A3)</f>
        <v>CAIXA D'ÁGUA </v>
      </c>
      <c r="F1" s="60"/>
      <c r="G1" s="61"/>
      <c r="H1" s="64"/>
      <c r="I1" s="64"/>
      <c r="J1" s="64"/>
      <c r="K1" s="64"/>
    </row>
    <row r="2" ht="22.5" customHeight="1">
      <c r="A2" s="59" t="s">
        <v>20</v>
      </c>
      <c r="B2" s="60"/>
      <c r="C2" s="61"/>
      <c r="D2" s="62"/>
      <c r="E2" s="65">
        <f>SUM(E3:G3)</f>
        <v>1378</v>
      </c>
      <c r="F2" s="60"/>
      <c r="G2" s="61"/>
      <c r="H2" s="64"/>
      <c r="I2" s="64"/>
      <c r="J2" s="64"/>
      <c r="K2" s="64"/>
    </row>
    <row r="3" ht="22.5" customHeight="1">
      <c r="A3" s="66"/>
      <c r="B3" s="66"/>
      <c r="C3" s="66"/>
      <c r="D3" s="67"/>
      <c r="E3" s="68">
        <f>CONFFLUXO!Q3</f>
        <v>551</v>
      </c>
      <c r="F3" s="68">
        <f>CONFFLUXO!Q4</f>
        <v>676</v>
      </c>
      <c r="G3" s="68">
        <f>CONFFLUXO!Q5</f>
        <v>151</v>
      </c>
      <c r="H3" s="64"/>
      <c r="I3" s="64"/>
      <c r="J3" s="64"/>
      <c r="K3" s="64"/>
    </row>
    <row r="4" ht="25.5" customHeight="1">
      <c r="A4" s="69"/>
      <c r="B4" s="69"/>
      <c r="C4" s="66"/>
      <c r="D4" s="66"/>
      <c r="E4" s="64"/>
      <c r="F4" s="64"/>
      <c r="G4" s="64"/>
      <c r="H4" s="70"/>
      <c r="I4" s="70"/>
      <c r="J4" s="71"/>
      <c r="K4" s="71"/>
    </row>
    <row r="5" ht="71.25" customHeight="1">
      <c r="A5" s="72" t="str">
        <f>UPPER(CONFFLUXO!A12)</f>
        <v>PEIXINHOS</v>
      </c>
      <c r="B5" s="73">
        <f>SUM(C5:C7)</f>
        <v>1126</v>
      </c>
      <c r="C5" s="74">
        <f>CONFFLUXO!Q14</f>
        <v>440</v>
      </c>
      <c r="D5" s="66"/>
      <c r="E5" s="64"/>
      <c r="F5" s="64"/>
      <c r="G5" s="64"/>
      <c r="H5" s="70"/>
      <c r="I5" s="75">
        <f>CONFFLUXO!Q6</f>
        <v>190</v>
      </c>
      <c r="J5" s="76">
        <f>SUM(I5:I7)</f>
        <v>1016</v>
      </c>
      <c r="K5" s="77" t="str">
        <f>UPPER(CONFFLUXO!A6)</f>
        <v>JARDIM BRASIL</v>
      </c>
    </row>
    <row r="6" ht="71.25" customHeight="1">
      <c r="A6" s="78"/>
      <c r="B6" s="78"/>
      <c r="C6" s="74">
        <f>CONFFLUXO!Q13</f>
        <v>522</v>
      </c>
      <c r="D6" s="66"/>
      <c r="E6" s="64"/>
      <c r="F6" s="79">
        <f>SUM(E3:G3,I5:I7,E9:G9,C5:C7)</f>
        <v>4845</v>
      </c>
      <c r="G6" s="64"/>
      <c r="H6" s="70"/>
      <c r="I6" s="75">
        <f>CONFFLUXO!Q7</f>
        <v>586</v>
      </c>
      <c r="J6" s="78"/>
      <c r="K6" s="78"/>
    </row>
    <row r="7" ht="71.25" customHeight="1">
      <c r="A7" s="80"/>
      <c r="B7" s="80"/>
      <c r="C7" s="74">
        <f>CONFFLUXO!Q12</f>
        <v>164</v>
      </c>
      <c r="D7" s="66"/>
      <c r="E7" s="64"/>
      <c r="F7" s="64"/>
      <c r="G7" s="64"/>
      <c r="H7" s="70"/>
      <c r="I7" s="75">
        <f>CONFFLUXO!Q8</f>
        <v>240</v>
      </c>
      <c r="J7" s="80"/>
      <c r="K7" s="80"/>
    </row>
    <row r="8" ht="27.0" customHeight="1">
      <c r="A8" s="66"/>
      <c r="B8" s="66"/>
      <c r="C8" s="66"/>
      <c r="D8" s="66"/>
      <c r="E8" s="64"/>
      <c r="F8" s="64"/>
      <c r="G8" s="64"/>
      <c r="H8" s="64"/>
      <c r="I8" s="64"/>
      <c r="J8" s="64"/>
      <c r="K8" s="64"/>
    </row>
    <row r="9" ht="22.5" customHeight="1">
      <c r="A9" s="66"/>
      <c r="B9" s="66"/>
      <c r="C9" s="81"/>
      <c r="D9" s="81"/>
      <c r="E9" s="82">
        <f>CONFFLUXO!Q11</f>
        <v>237</v>
      </c>
      <c r="F9" s="82">
        <f>CONFFLUXO!Q10</f>
        <v>685</v>
      </c>
      <c r="G9" s="82">
        <f>CONFFLUXO!Q9</f>
        <v>403</v>
      </c>
      <c r="H9" s="64"/>
      <c r="I9" s="64"/>
      <c r="J9" s="64"/>
      <c r="K9" s="64"/>
    </row>
    <row r="10" ht="22.5" customHeight="1">
      <c r="A10" s="66"/>
      <c r="B10" s="66"/>
      <c r="C10" s="66"/>
      <c r="D10" s="66"/>
      <c r="E10" s="83">
        <f>SUM(E9:G9)</f>
        <v>1325</v>
      </c>
      <c r="F10" s="60"/>
      <c r="G10" s="61"/>
      <c r="H10" s="64"/>
      <c r="I10" s="64"/>
      <c r="J10" s="64"/>
      <c r="K10" s="64"/>
    </row>
    <row r="11" ht="22.5" customHeight="1">
      <c r="A11" s="66"/>
      <c r="B11" s="66"/>
      <c r="C11" s="66"/>
      <c r="D11" s="66"/>
      <c r="E11" s="63" t="str">
        <f>UPPER(CONFFLUXO!A9)</f>
        <v>OLINDA</v>
      </c>
      <c r="F11" s="60"/>
      <c r="G11" s="61"/>
      <c r="H11" s="64"/>
      <c r="I11" s="64"/>
      <c r="J11" s="64"/>
      <c r="K11" s="84">
        <f>MAX(3:3,I:I,9:9,C:C)</f>
        <v>685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53</v>
      </c>
      <c r="B1" s="7"/>
    </row>
    <row r="2">
      <c r="A2" s="4" t="s">
        <v>54</v>
      </c>
      <c r="B2" s="7"/>
    </row>
    <row r="3">
      <c r="A3" s="4" t="s">
        <v>55</v>
      </c>
      <c r="B3" s="7"/>
    </row>
    <row r="4">
      <c r="A4" s="4" t="s">
        <v>56</v>
      </c>
      <c r="B4" s="7"/>
    </row>
    <row r="26">
      <c r="F26" s="42" t="s">
        <v>57</v>
      </c>
    </row>
  </sheetData>
  <drawing r:id="rId1"/>
</worksheet>
</file>