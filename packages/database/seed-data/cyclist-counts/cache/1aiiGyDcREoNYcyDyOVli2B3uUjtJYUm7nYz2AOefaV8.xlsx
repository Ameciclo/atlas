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visible" name="Fluxo" sheetId="5" r:id="rId8"/>
  </sheets>
  <definedNames/>
  <calcPr/>
</workbook>
</file>

<file path=xl/sharedStrings.xml><?xml version="1.0" encoding="utf-8"?>
<sst xmlns="http://schemas.openxmlformats.org/spreadsheetml/2006/main" count="95" uniqueCount="52">
  <si>
    <t>Cruzamento</t>
  </si>
  <si>
    <t>R. dos Palmares x R. Treze de Maio</t>
  </si>
  <si>
    <t>Data</t>
  </si>
  <si>
    <t>Coordenadas Geográficas</t>
  </si>
  <si>
    <t>-8.05263, -34.88374</t>
  </si>
  <si>
    <t>Relatório</t>
  </si>
  <si>
    <t>https://docs.google.com/document/d/1r9pVMhuvnT2uoo3wABMjlGDwW4v1dQ-Y/edit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</si>
  <si>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</si>
  <si>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</si>
  <si>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</si>
  <si>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</si>
  <si>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</si>
  <si>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</si>
  <si>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</si>
  <si>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</si>
  <si>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</si>
  <si>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</si>
  <si>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Dados quantitativos e sentido de deslocamento</t>
  </si>
  <si>
    <t>ORIGEM</t>
  </si>
  <si>
    <t>DESTINO</t>
  </si>
  <si>
    <t>TOTAL</t>
  </si>
  <si>
    <t>%</t>
  </si>
  <si>
    <t>Santo Amaro</t>
  </si>
  <si>
    <t>Espinheiro</t>
  </si>
  <si>
    <t>Boa Vista</t>
  </si>
  <si>
    <t>Bairro do Recife</t>
  </si>
  <si>
    <t>Percentual</t>
  </si>
  <si>
    <t>Dados qualitativos padrões</t>
  </si>
  <si>
    <t>Característica</t>
  </si>
  <si>
    <t>Dados qualitativos das observações</t>
  </si>
  <si>
    <t>Carona criança</t>
  </si>
  <si>
    <t>Carona mulher</t>
  </si>
  <si>
    <t>Carona homem</t>
  </si>
  <si>
    <t>Cargueira</t>
  </si>
  <si>
    <t>Adaptada a carga</t>
  </si>
  <si>
    <t>Serviço App</t>
  </si>
  <si>
    <t>Contramao</t>
  </si>
  <si>
    <t>Contramão para conversão</t>
  </si>
  <si>
    <t>Bike PE</t>
  </si>
  <si>
    <t>Triciclo</t>
  </si>
  <si>
    <t>Eletrica</t>
  </si>
  <si>
    <t>Skate</t>
  </si>
  <si>
    <t>Grupos de pedal</t>
  </si>
  <si>
    <t>Faixa azul</t>
  </si>
  <si>
    <t>Pedestre empurrando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</si>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</sst>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0.0%"/>
  </numFmts>
  <fonts count="13">
    <font>
      <sz val="10.0"/>
      <color rgb="FF000000"/>
      <name val="Arial"/>
    </font>
    <font>
      <b/>
      <sz val="12.0"/>
      <color rgb="FFFFFFFF"/>
      <name val="Ubuntu"/>
    </font>
    <font>
      <sz val="12.0"/>
      <name val="Ubuntu"/>
    </font>
    <font>
      <u/>
      <sz val="12.0"/>
      <color rgb="FF1155CC"/>
      <name val="Ubuntu"/>
    </font>
    <font>
      <sz val="12.0"/>
      <color rgb="FF000000"/>
      <name val="Ubuntu"/>
    </font>
    <font>
      <sz val="12.0"/>
      <color rgb="FFFFFFFF"/>
      <name val="Ubuntu"/>
    </font>
    <font>
      <b/>
      <sz val="12.0"/>
      <color rgb="FF000000"/>
      <name val="Ubuntu"/>
    </font>
    <font/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0" fontId="2" numFmtId="0" xfId="0" applyAlignment="1" applyFont="1">
      <alignment horizontal="right" readingOrder="0"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2" fontId="1" numFmtId="0" xfId="0" applyAlignment="1" applyFont="1">
      <alignment shrinkToFit="0" vertical="bottom" wrapText="1"/>
    </xf>
    <xf borderId="0" fillId="0" fontId="2" numFmtId="165" xfId="0" applyAlignment="1" applyFont="1" applyNumberFormat="1">
      <alignment horizontal="right" shrinkToFit="0" vertical="bottom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readingOrder="0" shrinkToFit="0" vertical="bottom" wrapText="0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readingOrder="0" shrinkToFit="0" vertical="bottom" wrapText="0"/>
    </xf>
    <xf borderId="0" fillId="4" fontId="5" numFmtId="10" xfId="0" applyAlignment="1" applyFont="1" applyNumberFormat="1">
      <alignment horizontal="center" shrinkToFit="0" vertical="center" wrapText="0"/>
    </xf>
    <xf borderId="0" fillId="4" fontId="5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readingOrder="0" shrinkToFit="0" vertical="bottom" wrapText="0"/>
    </xf>
    <xf borderId="0" fillId="2" fontId="6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1"/>
    </xf>
    <xf borderId="0" fillId="5" fontId="4" numFmtId="0" xfId="0" applyAlignment="1" applyFill="1" applyFont="1">
      <alignment shrinkToFit="0" vertical="bottom" wrapText="1"/>
    </xf>
    <xf borderId="0" fillId="5" fontId="4" numFmtId="0" xfId="0" applyAlignment="1" applyFont="1">
      <alignment horizontal="right" shrinkToFit="0" vertical="bottom" wrapText="1"/>
    </xf>
    <xf borderId="0" fillId="4" fontId="4" numFmtId="0" xfId="0" applyAlignment="1" applyFont="1">
      <alignment shrinkToFit="0" vertical="bottom" wrapText="1"/>
    </xf>
    <xf borderId="0" fillId="4" fontId="4" numFmtId="0" xfId="0" applyAlignment="1" applyFont="1">
      <alignment horizontal="right" shrinkToFit="0" vertical="bottom" wrapText="1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4" numFmtId="165" xfId="0" applyAlignment="1" applyFont="1" applyNumberFormat="1">
      <alignment horizontal="center" shrinkToFit="0" vertical="center" wrapText="0"/>
    </xf>
    <xf borderId="0" fillId="0" fontId="4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wrapText="1"/>
    </xf>
    <xf borderId="0" fillId="0" fontId="7" numFmtId="165" xfId="0" applyAlignment="1" applyFont="1" applyNumberFormat="1">
      <alignment shrinkToFit="0" wrapText="1"/>
    </xf>
    <xf borderId="0" fillId="6" fontId="7" numFmtId="0" xfId="0" applyAlignment="1" applyFill="1" applyFont="1">
      <alignment horizontal="center" readingOrder="0" shrinkToFit="0" wrapText="1"/>
    </xf>
    <xf borderId="0" fillId="4" fontId="7" numFmtId="0" xfId="0" applyAlignment="1" applyFont="1">
      <alignment readingOrder="0" shrinkToFit="0" wrapText="1"/>
    </xf>
    <xf borderId="0" fillId="4" fontId="7" numFmtId="0" xfId="0" applyAlignment="1" applyFont="1">
      <alignment shrinkToFit="0" wrapText="1"/>
    </xf>
    <xf borderId="0" fillId="5" fontId="7" numFmtId="0" xfId="0" applyAlignment="1" applyFont="1">
      <alignment readingOrder="0" shrinkToFit="0" wrapText="1"/>
    </xf>
    <xf borderId="0" fillId="5" fontId="7" numFmtId="0" xfId="0" applyAlignment="1" applyFont="1">
      <alignment shrinkToFit="0" wrapText="1"/>
    </xf>
    <xf borderId="0" fillId="7" fontId="7" numFmtId="0" xfId="0" applyAlignment="1" applyFill="1" applyFont="1">
      <alignment horizontal="center" readingOrder="0" shrinkToFit="0" wrapText="1"/>
    </xf>
    <xf borderId="0" fillId="4" fontId="7" numFmtId="0" xfId="0" applyAlignment="1" applyFont="1">
      <alignment readingOrder="0" shrinkToFit="0" wrapText="1"/>
    </xf>
    <xf borderId="0" fillId="8" fontId="7" numFmtId="0" xfId="0" applyAlignment="1" applyFill="1" applyFont="1">
      <alignment readingOrder="0" shrinkToFit="0" wrapText="1"/>
    </xf>
    <xf borderId="0" fillId="8" fontId="7" numFmtId="165" xfId="0" applyAlignment="1" applyFont="1" applyNumberFormat="1">
      <alignment shrinkToFit="0" wrapText="1"/>
    </xf>
    <xf borderId="0" fillId="4" fontId="7" numFmtId="165" xfId="0" applyAlignment="1" applyFont="1" applyNumberFormat="1">
      <alignment shrinkToFit="0" wrapText="1"/>
    </xf>
    <xf borderId="0" fillId="0" fontId="7" numFmtId="0" xfId="0" applyAlignment="1" applyFont="1">
      <alignment horizontal="center" readingOrder="0" shrinkToFit="0" wrapText="1"/>
    </xf>
    <xf borderId="0" fillId="0" fontId="7" numFmtId="165" xfId="0" applyAlignment="1" applyFont="1" applyNumberFormat="1">
      <alignment horizontal="center" readingOrder="0" shrinkToFit="0" wrapText="1"/>
    </xf>
    <xf borderId="0" fillId="0" fontId="7" numFmtId="0" xfId="0" applyAlignment="1" applyFont="1">
      <alignment horizontal="center" readingOrder="0" shrinkToFit="0" wrapText="1"/>
    </xf>
    <xf borderId="1" fillId="0" fontId="8" numFmtId="0" xfId="0" applyAlignment="1" applyBorder="1" applyFont="1">
      <alignment horizontal="center" readingOrder="0" shrinkToFit="0" textRotation="0" vertical="center" wrapText="1"/>
    </xf>
    <xf borderId="2" fillId="0" fontId="7" numFmtId="0" xfId="0" applyAlignment="1" applyBorder="1" applyFont="1">
      <alignment shrinkToFit="0" wrapText="1"/>
    </xf>
    <xf borderId="3" fillId="0" fontId="7" numFmtId="0" xfId="0" applyAlignment="1" applyBorder="1" applyFont="1">
      <alignment shrinkToFit="0" wrapText="1"/>
    </xf>
    <xf borderId="4" fillId="0" fontId="8" numFmtId="0" xfId="0" applyAlignment="1" applyBorder="1" applyFont="1">
      <alignment horizontal="center" readingOrder="0" shrinkToFit="0" textRotation="0" vertical="center" wrapText="1"/>
    </xf>
    <xf borderId="1" fillId="2" fontId="9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textRotation="90" vertical="center" wrapText="1"/>
    </xf>
    <xf borderId="4" fillId="0" fontId="8" numFmtId="0" xfId="0" applyAlignment="1" applyBorder="1" applyFont="1">
      <alignment horizontal="center" shrinkToFit="0" textRotation="90" vertical="bottom" wrapText="1"/>
    </xf>
    <xf borderId="4" fillId="0" fontId="8" numFmtId="0" xfId="0" applyAlignment="1" applyBorder="1" applyFont="1">
      <alignment horizontal="center" shrinkToFit="0" vertical="bottom" wrapText="1"/>
    </xf>
    <xf borderId="4" fillId="0" fontId="10" numFmtId="0" xfId="0" applyAlignment="1" applyBorder="1" applyFont="1">
      <alignment horizontal="center" readingOrder="0" shrinkToFit="0" textRotation="90" vertical="center" wrapText="1"/>
    </xf>
    <xf borderId="4" fillId="0" fontId="8" numFmtId="0" xfId="0" applyAlignment="1" applyBorder="1" applyFont="1">
      <alignment horizontal="center" shrinkToFit="0" textRotation="180" vertical="center" wrapText="1"/>
    </xf>
    <xf borderId="4" fillId="0" fontId="10" numFmtId="0" xfId="0" applyAlignment="1" applyBorder="1" applyFont="1">
      <alignment horizontal="center" readingOrder="0" shrinkToFit="0" textRotation="180" vertical="center" wrapText="1"/>
    </xf>
    <xf borderId="5" fillId="2" fontId="9" numFmtId="0" xfId="0" applyAlignment="1" applyBorder="1" applyFont="1">
      <alignment horizontal="center" readingOrder="0" shrinkToFit="0" textRotation="90" vertical="center" wrapText="1"/>
    </xf>
    <xf borderId="5" fillId="3" fontId="9" numFmtId="0" xfId="0" applyAlignment="1" applyBorder="1" applyFont="1">
      <alignment horizontal="center" readingOrder="0" shrinkToFit="0" textRotation="90" vertical="center" wrapText="1"/>
    </xf>
    <xf borderId="4" fillId="0" fontId="8" numFmtId="0" xfId="0" applyAlignment="1" applyBorder="1" applyFont="1">
      <alignment horizontal="right" shrinkToFit="0" textRotation="90" vertical="center" wrapText="1"/>
    </xf>
    <xf borderId="4" fillId="0" fontId="8" numFmtId="0" xfId="0" applyAlignment="1" applyBorder="1" applyFont="1">
      <alignment horizontal="left" shrinkToFit="0" textRotation="180" vertical="center" wrapText="1"/>
    </xf>
    <xf borderId="5" fillId="3" fontId="9" numFmtId="0" xfId="0" applyAlignment="1" applyBorder="1" applyFont="1">
      <alignment horizontal="center" readingOrder="0" shrinkToFit="0" textRotation="180" vertical="center" wrapText="1"/>
    </xf>
    <xf borderId="5" fillId="2" fontId="9" numFmtId="0" xfId="0" applyAlignment="1" applyBorder="1" applyFont="1">
      <alignment horizontal="center" readingOrder="0" shrinkToFit="0" textRotation="180" vertical="center" wrapText="1"/>
    </xf>
    <xf borderId="6" fillId="0" fontId="7" numFmtId="0" xfId="0" applyAlignment="1" applyBorder="1" applyFont="1">
      <alignment shrinkToFit="0" wrapText="1"/>
    </xf>
    <xf borderId="4" fillId="2" fontId="11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shrinkToFit="0" wrapText="1"/>
    </xf>
    <xf borderId="4" fillId="0" fontId="8" numFmtId="0" xfId="0" applyAlignment="1" applyBorder="1" applyFont="1">
      <alignment horizontal="center" shrinkToFit="0" textRotation="90" vertical="top" wrapText="1"/>
    </xf>
    <xf borderId="4" fillId="0" fontId="8" numFmtId="0" xfId="0" applyAlignment="1" applyBorder="1" applyFont="1">
      <alignment horizontal="center" shrinkToFit="0" vertical="top" wrapText="1"/>
    </xf>
    <xf borderId="1" fillId="3" fontId="9" numFmtId="0" xfId="0" applyAlignment="1" applyBorder="1" applyFont="1">
      <alignment horizontal="center" readingOrder="0" shrinkToFit="0" vertical="center" wrapText="1"/>
    </xf>
    <xf borderId="4" fillId="0" fontId="1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4"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1539880915"/>
        <c:axId val="908178548"/>
      </c:barChart>
      <c:catAx>
        <c:axId val="15398809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08178548"/>
      </c:catAx>
      <c:valAx>
        <c:axId val="9081785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398809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1664083033"/>
        <c:axId val="198962056"/>
      </c:barChart>
      <c:catAx>
        <c:axId val="16640830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8962056"/>
      </c:catAx>
      <c:valAx>
        <c:axId val="1989620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640830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1308956422"/>
        <c:axId val="1434891662"/>
      </c:barChart>
      <c:catAx>
        <c:axId val="130895642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34891662"/>
      </c:catAx>
      <c:valAx>
        <c:axId val="143489166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0895642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10</xdr:row>
      <xdr:rowOff>133350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P14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Dados-style" showColumnStripes="0" showFirstColumn="1" showLastColumn="1" showRowStripes="1"/>
</table>
</file>

<file path=xl/tables/table2.xml><?xml version="1.0" encoding="utf-8"?>
<table xmlns="http://schemas.openxmlformats.org/spreadsheetml/2006/main" headerRowCount="0" ref="B20:P28" displayName="Table_2" name="Table_2" id="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3.xml><?xml version="1.0" encoding="utf-8"?>
<table xmlns="http://schemas.openxmlformats.org/spreadsheetml/2006/main" headerRowCount="0" ref="B40:P46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4.xml><?xml version="1.0" encoding="utf-8"?>
<table xmlns="http://schemas.openxmlformats.org/spreadsheetml/2006/main" ref="A12:B20" displayName="Table_4" name="Table_4" id="4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r9pVMhuvnT2uoo3wABMjlGDwW4v1dQ-Y/edit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35.5"/>
  </cols>
  <sheetData>
    <row r="1">
      <c r="A1" s="1" t="s">
        <v>0</v>
      </c>
      <c r="B1" s="2" t="s">
        <v>1</v>
      </c>
    </row>
    <row r="2">
      <c r="A2" s="1" t="s">
        <v>2</v>
      </c>
      <c r="B2" s="3">
        <v>43516.0</v>
      </c>
    </row>
    <row r="3">
      <c r="A3" s="4" t="s">
        <v>3</v>
      </c>
      <c r="B3" s="5" t="s">
        <v>4</v>
      </c>
    </row>
    <row r="4">
      <c r="A4" s="4" t="s">
        <v>5</v>
      </c>
      <c r="B4" s="6" t="s">
        <v>6</v>
      </c>
    </row>
    <row r="5">
      <c r="A5" s="4" t="s">
        <v>7</v>
      </c>
      <c r="B5" s="7">
        <f>Dados!Q15</f>
        <v>1960</v>
      </c>
    </row>
    <row r="6">
      <c r="A6" s="4" t="s">
        <v>8</v>
      </c>
      <c r="B6" s="7">
        <f>MAX(Dados!C15:P15)</f>
        <v>223</v>
      </c>
    </row>
    <row r="7">
      <c r="A7" s="8" t="s">
        <v>9</v>
      </c>
      <c r="B7" s="9">
        <f>Dados!R20</f>
        <v>0.118877551</v>
      </c>
    </row>
    <row r="8">
      <c r="A8" s="8" t="s">
        <v>10</v>
      </c>
      <c r="B8" s="9">
        <f>Dados!R21</f>
        <v>0.005102040816</v>
      </c>
    </row>
    <row r="9">
      <c r="A9" s="8" t="s">
        <v>11</v>
      </c>
      <c r="B9" s="9">
        <f>Dados!R22</f>
        <v>0.07704081633</v>
      </c>
    </row>
    <row r="10">
      <c r="A10" s="8" t="s">
        <v>12</v>
      </c>
      <c r="B10" s="9">
        <f>Dados!R23</f>
        <v>0.06224489796</v>
      </c>
    </row>
    <row r="11">
      <c r="A11" s="8" t="s">
        <v>13</v>
      </c>
      <c r="B11" s="9">
        <f>Dados!R24</f>
        <v>0.187755102</v>
      </c>
    </row>
    <row r="12">
      <c r="A12" s="8" t="s">
        <v>14</v>
      </c>
      <c r="B12" s="9">
        <f>Dados!R25</f>
        <v>0.04183673469</v>
      </c>
    </row>
    <row r="13">
      <c r="A13" s="8" t="s">
        <v>15</v>
      </c>
      <c r="B13" s="9">
        <f>Dados!R26</f>
        <v>0.1974489796</v>
      </c>
    </row>
    <row r="14">
      <c r="A14" s="8" t="s">
        <v>16</v>
      </c>
      <c r="B14" s="9">
        <f>Dados!R27</f>
        <v>0.01989795918</v>
      </c>
    </row>
  </sheetData>
  <hyperlinks>
    <hyperlink r:id="rId1" ref="B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14.25"/>
    <col customWidth="1" min="2" max="2" width="15.5"/>
    <col customWidth="1" min="3" max="16" width="7.0"/>
    <col customWidth="1" min="17" max="17" width="8.75"/>
    <col customWidth="1" min="18" max="18" width="8.5"/>
  </cols>
  <sheetData>
    <row r="1" ht="12.0" customHeight="1">
      <c r="A1" s="10" t="s">
        <v>17</v>
      </c>
    </row>
    <row r="2" ht="12.0" customHeight="1">
      <c r="A2" s="11" t="s">
        <v>18</v>
      </c>
      <c r="B2" s="11" t="s">
        <v>19</v>
      </c>
      <c r="C2" s="12">
        <v>6.0</v>
      </c>
      <c r="D2" s="12">
        <v>7.0</v>
      </c>
      <c r="E2" s="12">
        <v>8.0</v>
      </c>
      <c r="F2" s="12">
        <v>9.0</v>
      </c>
      <c r="G2" s="12">
        <v>10.0</v>
      </c>
      <c r="H2" s="12">
        <v>11.0</v>
      </c>
      <c r="I2" s="12">
        <v>12.0</v>
      </c>
      <c r="J2" s="12">
        <v>13.0</v>
      </c>
      <c r="K2" s="12">
        <v>14.0</v>
      </c>
      <c r="L2" s="12">
        <v>15.0</v>
      </c>
      <c r="M2" s="12">
        <v>16.0</v>
      </c>
      <c r="N2" s="12">
        <v>17.0</v>
      </c>
      <c r="O2" s="12">
        <v>18.0</v>
      </c>
      <c r="P2" s="12">
        <v>19.0</v>
      </c>
      <c r="Q2" s="13" t="s">
        <v>20</v>
      </c>
      <c r="R2" s="14" t="s">
        <v>21</v>
      </c>
    </row>
    <row r="3" ht="14.25" customHeight="1">
      <c r="A3" s="15" t="s">
        <v>22</v>
      </c>
      <c r="B3" s="15" t="s">
        <v>23</v>
      </c>
      <c r="C3" s="15">
        <v>0.0</v>
      </c>
      <c r="D3" s="15">
        <v>2.0</v>
      </c>
      <c r="E3" s="15">
        <v>3.0</v>
      </c>
      <c r="F3" s="15">
        <v>1.0</v>
      </c>
      <c r="G3" s="15">
        <v>6.0</v>
      </c>
      <c r="H3" s="15">
        <v>1.0</v>
      </c>
      <c r="I3" s="15">
        <v>0.0</v>
      </c>
      <c r="J3" s="15">
        <v>5.0</v>
      </c>
      <c r="K3" s="15">
        <v>2.0</v>
      </c>
      <c r="L3" s="15">
        <v>2.0</v>
      </c>
      <c r="M3" s="15">
        <v>2.0</v>
      </c>
      <c r="N3" s="15">
        <v>5.0</v>
      </c>
      <c r="O3" s="15">
        <v>5.0</v>
      </c>
      <c r="P3" s="15">
        <v>1.0</v>
      </c>
      <c r="Q3" s="16">
        <f t="shared" ref="Q3:Q14" si="1">SUM(C3:P3)</f>
        <v>35</v>
      </c>
      <c r="R3" s="17">
        <f t="shared" ref="R3:R14" si="2">Q3/$Q$15</f>
        <v>0.01785714286</v>
      </c>
    </row>
    <row r="4" ht="14.25" customHeight="1">
      <c r="A4" s="15" t="s">
        <v>22</v>
      </c>
      <c r="B4" s="15" t="s">
        <v>24</v>
      </c>
      <c r="C4" s="15">
        <v>9.0</v>
      </c>
      <c r="D4" s="15">
        <v>18.0</v>
      </c>
      <c r="E4" s="15">
        <v>17.0</v>
      </c>
      <c r="F4" s="15">
        <v>7.0</v>
      </c>
      <c r="G4" s="15">
        <v>11.0</v>
      </c>
      <c r="H4" s="15">
        <v>20.0</v>
      </c>
      <c r="I4" s="15">
        <v>8.0</v>
      </c>
      <c r="J4" s="15">
        <v>11.0</v>
      </c>
      <c r="K4" s="15">
        <v>16.0</v>
      </c>
      <c r="L4" s="15">
        <v>6.0</v>
      </c>
      <c r="M4" s="15">
        <v>3.0</v>
      </c>
      <c r="N4" s="15">
        <v>16.0</v>
      </c>
      <c r="O4" s="15">
        <v>14.0</v>
      </c>
      <c r="P4" s="15">
        <v>4.0</v>
      </c>
      <c r="Q4" s="16">
        <f t="shared" si="1"/>
        <v>160</v>
      </c>
      <c r="R4" s="17">
        <f t="shared" si="2"/>
        <v>0.08163265306</v>
      </c>
    </row>
    <row r="5" ht="14.25" customHeight="1">
      <c r="A5" s="15" t="s">
        <v>22</v>
      </c>
      <c r="B5" s="15" t="s">
        <v>25</v>
      </c>
      <c r="C5" s="15">
        <v>20.0</v>
      </c>
      <c r="D5" s="15">
        <v>46.0</v>
      </c>
      <c r="E5" s="15">
        <v>33.0</v>
      </c>
      <c r="F5" s="15">
        <v>20.0</v>
      </c>
      <c r="G5" s="15">
        <v>17.0</v>
      </c>
      <c r="H5" s="15">
        <v>19.0</v>
      </c>
      <c r="I5" s="15">
        <v>25.0</v>
      </c>
      <c r="J5" s="15">
        <v>20.0</v>
      </c>
      <c r="K5" s="15">
        <v>20.0</v>
      </c>
      <c r="L5" s="15">
        <v>14.0</v>
      </c>
      <c r="M5" s="15">
        <v>16.0</v>
      </c>
      <c r="N5" s="15">
        <v>21.0</v>
      </c>
      <c r="O5" s="15">
        <v>15.0</v>
      </c>
      <c r="P5" s="15">
        <v>3.0</v>
      </c>
      <c r="Q5" s="16">
        <f t="shared" si="1"/>
        <v>289</v>
      </c>
      <c r="R5" s="17">
        <f t="shared" si="2"/>
        <v>0.1474489796</v>
      </c>
    </row>
    <row r="6" ht="14.25" customHeight="1">
      <c r="A6" s="15" t="s">
        <v>25</v>
      </c>
      <c r="B6" s="15" t="s">
        <v>22</v>
      </c>
      <c r="C6" s="15">
        <v>10.0</v>
      </c>
      <c r="D6" s="15">
        <v>9.0</v>
      </c>
      <c r="E6" s="15">
        <v>10.0</v>
      </c>
      <c r="F6" s="15">
        <v>15.0</v>
      </c>
      <c r="G6" s="15">
        <v>21.0</v>
      </c>
      <c r="H6" s="15">
        <v>18.0</v>
      </c>
      <c r="I6" s="15">
        <v>24.0</v>
      </c>
      <c r="J6" s="15">
        <v>12.0</v>
      </c>
      <c r="K6" s="15">
        <v>8.0</v>
      </c>
      <c r="L6" s="15">
        <v>14.0</v>
      </c>
      <c r="M6" s="15">
        <v>20.0</v>
      </c>
      <c r="N6" s="15">
        <v>28.0</v>
      </c>
      <c r="O6" s="15">
        <v>28.0</v>
      </c>
      <c r="P6" s="15">
        <v>15.0</v>
      </c>
      <c r="Q6" s="16">
        <f t="shared" si="1"/>
        <v>232</v>
      </c>
      <c r="R6" s="17">
        <f t="shared" si="2"/>
        <v>0.1183673469</v>
      </c>
    </row>
    <row r="7" ht="14.25" customHeight="1">
      <c r="A7" s="15" t="s">
        <v>25</v>
      </c>
      <c r="B7" s="15" t="s">
        <v>23</v>
      </c>
      <c r="C7" s="15">
        <v>12.0</v>
      </c>
      <c r="D7" s="15">
        <v>15.0</v>
      </c>
      <c r="E7" s="15">
        <v>11.0</v>
      </c>
      <c r="F7" s="15">
        <v>10.0</v>
      </c>
      <c r="G7" s="15">
        <v>16.0</v>
      </c>
      <c r="H7" s="15">
        <v>15.0</v>
      </c>
      <c r="I7" s="15">
        <v>12.0</v>
      </c>
      <c r="J7" s="15">
        <v>21.0</v>
      </c>
      <c r="K7" s="15">
        <v>20.0</v>
      </c>
      <c r="L7" s="15">
        <v>11.0</v>
      </c>
      <c r="M7" s="15">
        <v>47.0</v>
      </c>
      <c r="N7" s="15">
        <v>55.0</v>
      </c>
      <c r="O7" s="15">
        <v>47.0</v>
      </c>
      <c r="P7" s="15">
        <v>34.0</v>
      </c>
      <c r="Q7" s="16">
        <f t="shared" si="1"/>
        <v>326</v>
      </c>
      <c r="R7" s="17">
        <f t="shared" si="2"/>
        <v>0.1663265306</v>
      </c>
    </row>
    <row r="8" ht="14.25" customHeight="1">
      <c r="A8" s="15" t="s">
        <v>25</v>
      </c>
      <c r="B8" s="15" t="s">
        <v>24</v>
      </c>
      <c r="C8" s="15">
        <v>2.0</v>
      </c>
      <c r="D8" s="15">
        <v>0.0</v>
      </c>
      <c r="E8" s="15">
        <v>1.0</v>
      </c>
      <c r="F8" s="15">
        <v>3.0</v>
      </c>
      <c r="G8" s="15">
        <v>0.0</v>
      </c>
      <c r="H8" s="15">
        <v>0.0</v>
      </c>
      <c r="I8" s="15">
        <v>0.0</v>
      </c>
      <c r="J8" s="15">
        <v>4.0</v>
      </c>
      <c r="K8" s="15">
        <v>1.0</v>
      </c>
      <c r="L8" s="15">
        <v>0.0</v>
      </c>
      <c r="M8" s="15">
        <v>3.0</v>
      </c>
      <c r="N8" s="15">
        <v>0.0</v>
      </c>
      <c r="O8" s="15">
        <v>0.0</v>
      </c>
      <c r="P8" s="15">
        <v>1.0</v>
      </c>
      <c r="Q8" s="16">
        <f t="shared" si="1"/>
        <v>15</v>
      </c>
      <c r="R8" s="17">
        <f t="shared" si="2"/>
        <v>0.007653061224</v>
      </c>
    </row>
    <row r="9" ht="14.25" customHeight="1">
      <c r="A9" s="15" t="s">
        <v>24</v>
      </c>
      <c r="B9" s="15" t="s">
        <v>25</v>
      </c>
      <c r="C9" s="15">
        <v>3.0</v>
      </c>
      <c r="D9" s="15">
        <v>1.0</v>
      </c>
      <c r="E9" s="15">
        <v>2.0</v>
      </c>
      <c r="F9" s="15">
        <v>3.0</v>
      </c>
      <c r="G9" s="15">
        <v>2.0</v>
      </c>
      <c r="H9" s="15">
        <v>1.0</v>
      </c>
      <c r="I9" s="15">
        <v>4.0</v>
      </c>
      <c r="J9" s="15">
        <v>4.0</v>
      </c>
      <c r="K9" s="15">
        <v>2.0</v>
      </c>
      <c r="L9" s="15">
        <v>4.0</v>
      </c>
      <c r="M9" s="15">
        <v>8.0</v>
      </c>
      <c r="N9" s="15">
        <v>5.0</v>
      </c>
      <c r="O9" s="15">
        <v>3.0</v>
      </c>
      <c r="P9" s="15">
        <v>3.0</v>
      </c>
      <c r="Q9" s="16">
        <f t="shared" si="1"/>
        <v>45</v>
      </c>
      <c r="R9" s="17">
        <f t="shared" si="2"/>
        <v>0.02295918367</v>
      </c>
    </row>
    <row r="10" ht="14.25" customHeight="1">
      <c r="A10" s="15" t="s">
        <v>24</v>
      </c>
      <c r="B10" s="15" t="s">
        <v>22</v>
      </c>
      <c r="C10" s="15">
        <v>10.0</v>
      </c>
      <c r="D10" s="15">
        <v>23.0</v>
      </c>
      <c r="E10" s="15">
        <v>17.0</v>
      </c>
      <c r="F10" s="15">
        <v>23.0</v>
      </c>
      <c r="G10" s="15">
        <v>14.0</v>
      </c>
      <c r="H10" s="15">
        <v>25.0</v>
      </c>
      <c r="I10" s="15">
        <v>27.0</v>
      </c>
      <c r="J10" s="15">
        <v>17.0</v>
      </c>
      <c r="K10" s="15">
        <v>19.0</v>
      </c>
      <c r="L10" s="15">
        <v>14.0</v>
      </c>
      <c r="M10" s="15">
        <v>20.0</v>
      </c>
      <c r="N10" s="15">
        <v>39.0</v>
      </c>
      <c r="O10" s="15">
        <v>31.0</v>
      </c>
      <c r="P10" s="15">
        <v>11.0</v>
      </c>
      <c r="Q10" s="16">
        <f t="shared" si="1"/>
        <v>290</v>
      </c>
      <c r="R10" s="17">
        <f t="shared" si="2"/>
        <v>0.1479591837</v>
      </c>
    </row>
    <row r="11" ht="14.25" customHeight="1">
      <c r="A11" s="15" t="s">
        <v>24</v>
      </c>
      <c r="B11" s="15" t="s">
        <v>23</v>
      </c>
      <c r="C11" s="15">
        <v>3.0</v>
      </c>
      <c r="D11" s="15">
        <v>6.0</v>
      </c>
      <c r="E11" s="15">
        <v>3.0</v>
      </c>
      <c r="F11" s="15">
        <v>5.0</v>
      </c>
      <c r="G11" s="15">
        <v>4.0</v>
      </c>
      <c r="H11" s="15">
        <v>5.0</v>
      </c>
      <c r="I11" s="15">
        <v>10.0</v>
      </c>
      <c r="J11" s="15">
        <v>5.0</v>
      </c>
      <c r="K11" s="15">
        <v>7.0</v>
      </c>
      <c r="L11" s="15">
        <v>7.0</v>
      </c>
      <c r="M11" s="15">
        <v>13.0</v>
      </c>
      <c r="N11" s="15">
        <v>27.0</v>
      </c>
      <c r="O11" s="15">
        <v>18.0</v>
      </c>
      <c r="P11" s="15">
        <v>5.0</v>
      </c>
      <c r="Q11" s="16">
        <f t="shared" si="1"/>
        <v>118</v>
      </c>
      <c r="R11" s="17">
        <f t="shared" si="2"/>
        <v>0.06020408163</v>
      </c>
    </row>
    <row r="12" ht="14.25" customHeight="1">
      <c r="A12" s="15" t="s">
        <v>23</v>
      </c>
      <c r="B12" s="15" t="s">
        <v>24</v>
      </c>
      <c r="C12" s="15">
        <v>2.0</v>
      </c>
      <c r="D12" s="15">
        <v>5.0</v>
      </c>
      <c r="E12" s="15">
        <v>6.0</v>
      </c>
      <c r="F12" s="15">
        <v>6.0</v>
      </c>
      <c r="G12" s="15">
        <v>3.0</v>
      </c>
      <c r="H12" s="15">
        <v>8.0</v>
      </c>
      <c r="I12" s="15">
        <v>0.0</v>
      </c>
      <c r="J12" s="15">
        <v>2.0</v>
      </c>
      <c r="K12" s="15">
        <v>5.0</v>
      </c>
      <c r="L12" s="15">
        <v>4.0</v>
      </c>
      <c r="M12" s="15">
        <v>1.0</v>
      </c>
      <c r="N12" s="15">
        <v>1.0</v>
      </c>
      <c r="O12" s="15">
        <v>2.0</v>
      </c>
      <c r="P12" s="15">
        <v>5.0</v>
      </c>
      <c r="Q12" s="16">
        <f t="shared" si="1"/>
        <v>50</v>
      </c>
      <c r="R12" s="17">
        <f t="shared" si="2"/>
        <v>0.02551020408</v>
      </c>
    </row>
    <row r="13" ht="14.25" customHeight="1">
      <c r="A13" s="15" t="s">
        <v>23</v>
      </c>
      <c r="B13" s="15" t="s">
        <v>25</v>
      </c>
      <c r="C13" s="15">
        <v>31.0</v>
      </c>
      <c r="D13" s="15">
        <v>54.0</v>
      </c>
      <c r="E13" s="15">
        <v>42.0</v>
      </c>
      <c r="F13" s="15">
        <v>45.0</v>
      </c>
      <c r="G13" s="15">
        <v>23.0</v>
      </c>
      <c r="H13" s="15">
        <v>23.0</v>
      </c>
      <c r="I13" s="15">
        <v>24.0</v>
      </c>
      <c r="J13" s="15">
        <v>14.0</v>
      </c>
      <c r="K13" s="15">
        <v>12.0</v>
      </c>
      <c r="L13" s="15">
        <v>14.0</v>
      </c>
      <c r="M13" s="15">
        <v>28.0</v>
      </c>
      <c r="N13" s="15">
        <v>25.0</v>
      </c>
      <c r="O13" s="15">
        <v>29.0</v>
      </c>
      <c r="P13" s="15">
        <v>14.0</v>
      </c>
      <c r="Q13" s="16">
        <f t="shared" si="1"/>
        <v>378</v>
      </c>
      <c r="R13" s="17">
        <f t="shared" si="2"/>
        <v>0.1928571429</v>
      </c>
    </row>
    <row r="14" ht="14.25" customHeight="1">
      <c r="A14" s="15" t="s">
        <v>23</v>
      </c>
      <c r="B14" s="15" t="s">
        <v>22</v>
      </c>
      <c r="C14" s="15">
        <v>1.0</v>
      </c>
      <c r="D14" s="15">
        <v>2.0</v>
      </c>
      <c r="E14" s="15">
        <v>3.0</v>
      </c>
      <c r="F14" s="15">
        <v>2.0</v>
      </c>
      <c r="G14" s="15">
        <v>0.0</v>
      </c>
      <c r="H14" s="15">
        <v>1.0</v>
      </c>
      <c r="I14" s="15">
        <v>0.0</v>
      </c>
      <c r="J14" s="15">
        <v>4.0</v>
      </c>
      <c r="K14" s="15">
        <v>2.0</v>
      </c>
      <c r="L14" s="15">
        <v>4.0</v>
      </c>
      <c r="M14" s="15">
        <v>1.0</v>
      </c>
      <c r="N14" s="15">
        <v>1.0</v>
      </c>
      <c r="O14" s="15">
        <v>0.0</v>
      </c>
      <c r="P14" s="15">
        <v>1.0</v>
      </c>
      <c r="Q14" s="16">
        <f t="shared" si="1"/>
        <v>22</v>
      </c>
      <c r="R14" s="17">
        <f t="shared" si="2"/>
        <v>0.0112244898</v>
      </c>
    </row>
    <row r="15" ht="14.25" customHeight="1">
      <c r="A15" s="18"/>
      <c r="B15" s="18" t="s">
        <v>20</v>
      </c>
      <c r="C15" s="16">
        <f t="shared" ref="C15:Q15" si="3">SUM(C$3:C$14)</f>
        <v>103</v>
      </c>
      <c r="D15" s="16">
        <f t="shared" si="3"/>
        <v>181</v>
      </c>
      <c r="E15" s="16">
        <f t="shared" si="3"/>
        <v>148</v>
      </c>
      <c r="F15" s="16">
        <f t="shared" si="3"/>
        <v>140</v>
      </c>
      <c r="G15" s="16">
        <f t="shared" si="3"/>
        <v>117</v>
      </c>
      <c r="H15" s="16">
        <f t="shared" si="3"/>
        <v>136</v>
      </c>
      <c r="I15" s="16">
        <f t="shared" si="3"/>
        <v>134</v>
      </c>
      <c r="J15" s="16">
        <f t="shared" si="3"/>
        <v>119</v>
      </c>
      <c r="K15" s="16">
        <f t="shared" si="3"/>
        <v>114</v>
      </c>
      <c r="L15" s="16">
        <f t="shared" si="3"/>
        <v>94</v>
      </c>
      <c r="M15" s="16">
        <f t="shared" si="3"/>
        <v>162</v>
      </c>
      <c r="N15" s="16">
        <f t="shared" si="3"/>
        <v>223</v>
      </c>
      <c r="O15" s="16">
        <f t="shared" si="3"/>
        <v>192</v>
      </c>
      <c r="P15" s="16">
        <f t="shared" si="3"/>
        <v>97</v>
      </c>
      <c r="Q15" s="16">
        <f t="shared" si="3"/>
        <v>1960</v>
      </c>
      <c r="R15" s="17"/>
    </row>
    <row r="16" ht="13.5" customHeight="1">
      <c r="A16" s="19"/>
      <c r="B16" s="19" t="s">
        <v>26</v>
      </c>
      <c r="C16" s="20">
        <f t="shared" ref="C16:P16" si="4">C15/$Q$15</f>
        <v>0.05255102041</v>
      </c>
      <c r="D16" s="20">
        <f t="shared" si="4"/>
        <v>0.09234693878</v>
      </c>
      <c r="E16" s="20">
        <f t="shared" si="4"/>
        <v>0.07551020408</v>
      </c>
      <c r="F16" s="20">
        <f t="shared" si="4"/>
        <v>0.07142857143</v>
      </c>
      <c r="G16" s="20">
        <f t="shared" si="4"/>
        <v>0.05969387755</v>
      </c>
      <c r="H16" s="20">
        <f t="shared" si="4"/>
        <v>0.0693877551</v>
      </c>
      <c r="I16" s="20">
        <f t="shared" si="4"/>
        <v>0.06836734694</v>
      </c>
      <c r="J16" s="20">
        <f t="shared" si="4"/>
        <v>0.06071428571</v>
      </c>
      <c r="K16" s="20">
        <f t="shared" si="4"/>
        <v>0.05816326531</v>
      </c>
      <c r="L16" s="20">
        <f t="shared" si="4"/>
        <v>0.04795918367</v>
      </c>
      <c r="M16" s="20">
        <f t="shared" si="4"/>
        <v>0.08265306122</v>
      </c>
      <c r="N16" s="20">
        <f t="shared" si="4"/>
        <v>0.1137755102</v>
      </c>
      <c r="O16" s="20">
        <f t="shared" si="4"/>
        <v>0.09795918367</v>
      </c>
      <c r="P16" s="20">
        <f t="shared" si="4"/>
        <v>0.04948979592</v>
      </c>
      <c r="Q16" s="20">
        <f>SUM(C16:P16)</f>
        <v>1</v>
      </c>
      <c r="R16" s="17"/>
    </row>
    <row r="17" ht="13.5" customHeight="1">
      <c r="A17" s="21"/>
      <c r="B17" s="21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3"/>
    </row>
    <row r="18" ht="12.0" customHeight="1">
      <c r="A18" s="10" t="s">
        <v>27</v>
      </c>
    </row>
    <row r="19" ht="12.0" customHeight="1">
      <c r="A19" s="24"/>
      <c r="B19" s="11" t="s">
        <v>28</v>
      </c>
      <c r="C19" s="12">
        <v>6.0</v>
      </c>
      <c r="D19" s="12">
        <v>7.0</v>
      </c>
      <c r="E19" s="12">
        <v>8.0</v>
      </c>
      <c r="F19" s="12">
        <v>9.0</v>
      </c>
      <c r="G19" s="12">
        <v>10.0</v>
      </c>
      <c r="H19" s="12">
        <v>11.0</v>
      </c>
      <c r="I19" s="12">
        <v>12.0</v>
      </c>
      <c r="J19" s="12">
        <v>13.0</v>
      </c>
      <c r="K19" s="12">
        <v>14.0</v>
      </c>
      <c r="L19" s="12">
        <v>15.0</v>
      </c>
      <c r="M19" s="12">
        <v>16.0</v>
      </c>
      <c r="N19" s="12">
        <v>17.0</v>
      </c>
      <c r="O19" s="12">
        <v>18.0</v>
      </c>
      <c r="P19" s="12">
        <v>19.0</v>
      </c>
      <c r="Q19" s="13" t="s">
        <v>20</v>
      </c>
      <c r="R19" s="14" t="s">
        <v>21</v>
      </c>
    </row>
    <row r="20" ht="14.25" customHeight="1">
      <c r="A20" s="25"/>
      <c r="B20" s="26" t="s">
        <v>9</v>
      </c>
      <c r="C20" s="26">
        <v>11.0</v>
      </c>
      <c r="D20" s="26">
        <v>20.0</v>
      </c>
      <c r="E20" s="26">
        <v>16.0</v>
      </c>
      <c r="F20" s="26">
        <v>17.0</v>
      </c>
      <c r="G20" s="26">
        <v>17.0</v>
      </c>
      <c r="H20" s="26">
        <v>14.0</v>
      </c>
      <c r="I20" s="26">
        <v>12.0</v>
      </c>
      <c r="J20" s="26">
        <v>16.0</v>
      </c>
      <c r="K20" s="26">
        <v>17.0</v>
      </c>
      <c r="L20" s="26">
        <v>11.0</v>
      </c>
      <c r="M20" s="26">
        <v>25.0</v>
      </c>
      <c r="N20" s="26">
        <v>30.0</v>
      </c>
      <c r="O20" s="26">
        <v>15.0</v>
      </c>
      <c r="P20" s="26">
        <v>12.0</v>
      </c>
      <c r="Q20" s="13">
        <f t="shared" ref="Q20:Q27" si="5">SUM(C20:P20)</f>
        <v>233</v>
      </c>
      <c r="R20" s="14">
        <f t="shared" ref="R20:R27" si="6">Q20/$Q$15</f>
        <v>0.118877551</v>
      </c>
    </row>
    <row r="21" ht="14.25" customHeight="1">
      <c r="A21" s="25"/>
      <c r="B21" s="26" t="s">
        <v>10</v>
      </c>
      <c r="C21" s="26">
        <v>0.0</v>
      </c>
      <c r="D21" s="26">
        <v>3.0</v>
      </c>
      <c r="E21" s="26">
        <v>0.0</v>
      </c>
      <c r="F21" s="26">
        <v>0.0</v>
      </c>
      <c r="G21" s="26">
        <v>0.0</v>
      </c>
      <c r="H21" s="26">
        <v>0.0</v>
      </c>
      <c r="I21" s="26">
        <v>0.0</v>
      </c>
      <c r="J21" s="26">
        <v>2.0</v>
      </c>
      <c r="K21" s="26">
        <v>0.0</v>
      </c>
      <c r="L21" s="26">
        <v>1.0</v>
      </c>
      <c r="M21" s="26">
        <v>3.0</v>
      </c>
      <c r="N21" s="26">
        <v>1.0</v>
      </c>
      <c r="O21" s="26">
        <v>0.0</v>
      </c>
      <c r="P21" s="26">
        <v>0.0</v>
      </c>
      <c r="Q21" s="13">
        <f t="shared" si="5"/>
        <v>10</v>
      </c>
      <c r="R21" s="14">
        <f t="shared" si="6"/>
        <v>0.005102040816</v>
      </c>
    </row>
    <row r="22" ht="14.25" customHeight="1">
      <c r="A22" s="25"/>
      <c r="B22" s="26" t="s">
        <v>11</v>
      </c>
      <c r="C22" s="26">
        <v>16.0</v>
      </c>
      <c r="D22" s="26">
        <v>19.0</v>
      </c>
      <c r="E22" s="26">
        <v>16.0</v>
      </c>
      <c r="F22" s="26">
        <v>14.0</v>
      </c>
      <c r="G22" s="26">
        <v>6.0</v>
      </c>
      <c r="H22" s="26">
        <v>6.0</v>
      </c>
      <c r="I22" s="26">
        <v>2.0</v>
      </c>
      <c r="J22" s="26">
        <v>4.0</v>
      </c>
      <c r="K22" s="26">
        <v>2.0</v>
      </c>
      <c r="L22" s="26">
        <v>8.0</v>
      </c>
      <c r="M22" s="26">
        <v>16.0</v>
      </c>
      <c r="N22" s="26">
        <v>16.0</v>
      </c>
      <c r="O22" s="26">
        <v>18.0</v>
      </c>
      <c r="P22" s="26">
        <v>8.0</v>
      </c>
      <c r="Q22" s="13">
        <f t="shared" si="5"/>
        <v>151</v>
      </c>
      <c r="R22" s="14">
        <f t="shared" si="6"/>
        <v>0.07704081633</v>
      </c>
    </row>
    <row r="23" ht="14.25" customHeight="1">
      <c r="A23" s="25"/>
      <c r="B23" s="27" t="s">
        <v>12</v>
      </c>
      <c r="C23" s="28">
        <f t="shared" ref="C23:P23" si="7">SUM(C31:C33)</f>
        <v>5</v>
      </c>
      <c r="D23" s="28">
        <f t="shared" si="7"/>
        <v>23</v>
      </c>
      <c r="E23" s="28">
        <f t="shared" si="7"/>
        <v>4</v>
      </c>
      <c r="F23" s="28">
        <f t="shared" si="7"/>
        <v>2</v>
      </c>
      <c r="G23" s="28">
        <f t="shared" si="7"/>
        <v>2</v>
      </c>
      <c r="H23" s="28">
        <f t="shared" si="7"/>
        <v>8</v>
      </c>
      <c r="I23" s="28">
        <f t="shared" si="7"/>
        <v>21</v>
      </c>
      <c r="J23" s="28">
        <f t="shared" si="7"/>
        <v>24</v>
      </c>
      <c r="K23" s="28">
        <f t="shared" si="7"/>
        <v>3</v>
      </c>
      <c r="L23" s="28">
        <f t="shared" si="7"/>
        <v>2</v>
      </c>
      <c r="M23" s="28">
        <f t="shared" si="7"/>
        <v>10</v>
      </c>
      <c r="N23" s="28">
        <f t="shared" si="7"/>
        <v>14</v>
      </c>
      <c r="O23" s="28">
        <f t="shared" si="7"/>
        <v>2</v>
      </c>
      <c r="P23" s="28">
        <f t="shared" si="7"/>
        <v>2</v>
      </c>
      <c r="Q23" s="13">
        <f t="shared" si="5"/>
        <v>122</v>
      </c>
      <c r="R23" s="14">
        <f t="shared" si="6"/>
        <v>0.06224489796</v>
      </c>
    </row>
    <row r="24" ht="14.25" customHeight="1">
      <c r="A24" s="25"/>
      <c r="B24" s="29" t="s">
        <v>13</v>
      </c>
      <c r="C24" s="30">
        <f t="shared" ref="C24:P24" si="8">SUM(C34:C35)</f>
        <v>14</v>
      </c>
      <c r="D24" s="30">
        <f t="shared" si="8"/>
        <v>30</v>
      </c>
      <c r="E24" s="30">
        <f t="shared" si="8"/>
        <v>28</v>
      </c>
      <c r="F24" s="30">
        <f t="shared" si="8"/>
        <v>43</v>
      </c>
      <c r="G24" s="30">
        <f t="shared" si="8"/>
        <v>23</v>
      </c>
      <c r="H24" s="30">
        <f t="shared" si="8"/>
        <v>41</v>
      </c>
      <c r="I24" s="30">
        <f t="shared" si="8"/>
        <v>26</v>
      </c>
      <c r="J24" s="30">
        <f t="shared" si="8"/>
        <v>33</v>
      </c>
      <c r="K24" s="30">
        <f t="shared" si="8"/>
        <v>33</v>
      </c>
      <c r="L24" s="30">
        <f t="shared" si="8"/>
        <v>18</v>
      </c>
      <c r="M24" s="30">
        <f t="shared" si="8"/>
        <v>29</v>
      </c>
      <c r="N24" s="30">
        <f t="shared" si="8"/>
        <v>13</v>
      </c>
      <c r="O24" s="30">
        <f t="shared" si="8"/>
        <v>23</v>
      </c>
      <c r="P24" s="30">
        <f t="shared" si="8"/>
        <v>14</v>
      </c>
      <c r="Q24" s="13">
        <f t="shared" si="5"/>
        <v>368</v>
      </c>
      <c r="R24" s="14">
        <f t="shared" si="6"/>
        <v>0.187755102</v>
      </c>
    </row>
    <row r="25" ht="14.25" customHeight="1">
      <c r="A25" s="25"/>
      <c r="B25" s="27" t="s">
        <v>14</v>
      </c>
      <c r="C25" s="28">
        <f t="shared" ref="C25:P25" si="9">SUM(C36:C37)</f>
        <v>0</v>
      </c>
      <c r="D25" s="28">
        <f t="shared" si="9"/>
        <v>1</v>
      </c>
      <c r="E25" s="28">
        <f t="shared" si="9"/>
        <v>6</v>
      </c>
      <c r="F25" s="28">
        <f t="shared" si="9"/>
        <v>14</v>
      </c>
      <c r="G25" s="28">
        <f t="shared" si="9"/>
        <v>8</v>
      </c>
      <c r="H25" s="28">
        <f t="shared" si="9"/>
        <v>14</v>
      </c>
      <c r="I25" s="28">
        <f t="shared" si="9"/>
        <v>0</v>
      </c>
      <c r="J25" s="28">
        <f t="shared" si="9"/>
        <v>5</v>
      </c>
      <c r="K25" s="28">
        <f t="shared" si="9"/>
        <v>5</v>
      </c>
      <c r="L25" s="28">
        <f t="shared" si="9"/>
        <v>7</v>
      </c>
      <c r="M25" s="28">
        <f t="shared" si="9"/>
        <v>8</v>
      </c>
      <c r="N25" s="28">
        <f t="shared" si="9"/>
        <v>4</v>
      </c>
      <c r="O25" s="28">
        <f t="shared" si="9"/>
        <v>3</v>
      </c>
      <c r="P25" s="28">
        <f t="shared" si="9"/>
        <v>7</v>
      </c>
      <c r="Q25" s="13">
        <f t="shared" si="5"/>
        <v>82</v>
      </c>
      <c r="R25" s="14">
        <f t="shared" si="6"/>
        <v>0.04183673469</v>
      </c>
    </row>
    <row r="26" ht="14.25" customHeight="1">
      <c r="A26" s="25"/>
      <c r="B26" s="29" t="s">
        <v>15</v>
      </c>
      <c r="C26" s="30">
        <f t="shared" ref="C26:P26" si="10">SUM(C38:C39)</f>
        <v>20</v>
      </c>
      <c r="D26" s="30">
        <f t="shared" si="10"/>
        <v>33</v>
      </c>
      <c r="E26" s="30">
        <f t="shared" si="10"/>
        <v>35</v>
      </c>
      <c r="F26" s="30">
        <f t="shared" si="10"/>
        <v>43</v>
      </c>
      <c r="G26" s="30">
        <f t="shared" si="10"/>
        <v>29</v>
      </c>
      <c r="H26" s="30">
        <f t="shared" si="10"/>
        <v>38</v>
      </c>
      <c r="I26" s="30">
        <f t="shared" si="10"/>
        <v>41</v>
      </c>
      <c r="J26" s="30">
        <f t="shared" si="10"/>
        <v>27</v>
      </c>
      <c r="K26" s="30">
        <f t="shared" si="10"/>
        <v>27</v>
      </c>
      <c r="L26" s="30">
        <f t="shared" si="10"/>
        <v>15</v>
      </c>
      <c r="M26" s="30">
        <f t="shared" si="10"/>
        <v>23</v>
      </c>
      <c r="N26" s="30">
        <f t="shared" si="10"/>
        <v>23</v>
      </c>
      <c r="O26" s="30">
        <f t="shared" si="10"/>
        <v>17</v>
      </c>
      <c r="P26" s="30">
        <f t="shared" si="10"/>
        <v>16</v>
      </c>
      <c r="Q26" s="13">
        <f t="shared" si="5"/>
        <v>387</v>
      </c>
      <c r="R26" s="14">
        <f t="shared" si="6"/>
        <v>0.1974489796</v>
      </c>
    </row>
    <row r="27" ht="14.25" customHeight="1">
      <c r="A27" s="25"/>
      <c r="B27" s="26" t="s">
        <v>16</v>
      </c>
      <c r="C27" s="26">
        <v>0.0</v>
      </c>
      <c r="D27" s="26">
        <v>6.0</v>
      </c>
      <c r="E27" s="26">
        <v>2.0</v>
      </c>
      <c r="F27" s="26">
        <v>3.0</v>
      </c>
      <c r="G27" s="26">
        <v>7.0</v>
      </c>
      <c r="H27" s="26">
        <v>7.0</v>
      </c>
      <c r="I27" s="26">
        <v>1.0</v>
      </c>
      <c r="J27" s="26">
        <v>2.0</v>
      </c>
      <c r="K27" s="26">
        <v>2.0</v>
      </c>
      <c r="L27" s="26">
        <v>0.0</v>
      </c>
      <c r="M27" s="26">
        <v>4.0</v>
      </c>
      <c r="N27" s="26">
        <v>2.0</v>
      </c>
      <c r="O27" s="26">
        <v>3.0</v>
      </c>
      <c r="P27" s="26">
        <v>0.0</v>
      </c>
      <c r="Q27" s="13">
        <f t="shared" si="5"/>
        <v>39</v>
      </c>
      <c r="R27" s="14">
        <f t="shared" si="6"/>
        <v>0.01989795918</v>
      </c>
    </row>
    <row r="28" ht="14.25" customHeight="1">
      <c r="A28" s="31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32"/>
      <c r="R28" s="33"/>
    </row>
    <row r="29" ht="14.25" customHeight="1">
      <c r="A29" s="10" t="s">
        <v>29</v>
      </c>
    </row>
    <row r="30" ht="14.25" customHeight="1">
      <c r="A30" s="24"/>
      <c r="B30" s="11" t="s">
        <v>28</v>
      </c>
      <c r="C30" s="12">
        <v>6.0</v>
      </c>
      <c r="D30" s="12">
        <v>7.0</v>
      </c>
      <c r="E30" s="12">
        <v>8.0</v>
      </c>
      <c r="F30" s="12">
        <v>9.0</v>
      </c>
      <c r="G30" s="12">
        <v>10.0</v>
      </c>
      <c r="H30" s="12">
        <v>11.0</v>
      </c>
      <c r="I30" s="12">
        <v>12.0</v>
      </c>
      <c r="J30" s="12">
        <v>13.0</v>
      </c>
      <c r="K30" s="12">
        <v>14.0</v>
      </c>
      <c r="L30" s="12">
        <v>15.0</v>
      </c>
      <c r="M30" s="12">
        <v>16.0</v>
      </c>
      <c r="N30" s="12">
        <v>17.0</v>
      </c>
      <c r="O30" s="12">
        <v>18.0</v>
      </c>
      <c r="P30" s="12">
        <v>19.0</v>
      </c>
      <c r="Q30" s="13" t="s">
        <v>20</v>
      </c>
      <c r="R30" s="14" t="s">
        <v>21</v>
      </c>
    </row>
    <row r="31" ht="14.25" customHeight="1">
      <c r="A31" s="25"/>
      <c r="B31" s="26" t="s">
        <v>30</v>
      </c>
      <c r="C31" s="26">
        <v>3.0</v>
      </c>
      <c r="D31" s="26">
        <v>21.0</v>
      </c>
      <c r="E31" s="26">
        <v>0.0</v>
      </c>
      <c r="F31" s="26">
        <v>1.0</v>
      </c>
      <c r="G31" s="26">
        <v>1.0</v>
      </c>
      <c r="H31" s="26">
        <v>7.0</v>
      </c>
      <c r="I31" s="26">
        <v>14.0</v>
      </c>
      <c r="J31" s="26">
        <v>4.0</v>
      </c>
      <c r="K31" s="26">
        <v>1.0</v>
      </c>
      <c r="L31" s="26">
        <v>2.0</v>
      </c>
      <c r="M31" s="26">
        <v>8.0</v>
      </c>
      <c r="N31" s="26">
        <v>10.0</v>
      </c>
      <c r="O31" s="26">
        <v>2.0</v>
      </c>
      <c r="P31" s="26">
        <v>2.0</v>
      </c>
      <c r="Q31" s="13">
        <f t="shared" ref="Q31:Q34" si="11">SUM(C31:P31)</f>
        <v>76</v>
      </c>
      <c r="R31" s="14">
        <f t="shared" ref="R31:R34" si="12">Q31/$Q$15</f>
        <v>0.0387755102</v>
      </c>
    </row>
    <row r="32" ht="14.25" customHeight="1">
      <c r="A32" s="25"/>
      <c r="B32" s="26" t="s">
        <v>31</v>
      </c>
      <c r="C32" s="26">
        <v>2.0</v>
      </c>
      <c r="D32" s="26">
        <v>2.0</v>
      </c>
      <c r="E32" s="26">
        <v>4.0</v>
      </c>
      <c r="F32" s="26">
        <v>1.0</v>
      </c>
      <c r="G32" s="26">
        <v>1.0</v>
      </c>
      <c r="H32" s="26">
        <v>0.0</v>
      </c>
      <c r="I32" s="26">
        <v>5.0</v>
      </c>
      <c r="J32" s="26">
        <v>18.0</v>
      </c>
      <c r="K32" s="26">
        <v>1.0</v>
      </c>
      <c r="L32" s="26">
        <v>0.0</v>
      </c>
      <c r="M32" s="26">
        <v>2.0</v>
      </c>
      <c r="N32" s="26">
        <v>4.0</v>
      </c>
      <c r="O32" s="26">
        <v>0.0</v>
      </c>
      <c r="P32" s="26">
        <v>0.0</v>
      </c>
      <c r="Q32" s="13">
        <f t="shared" si="11"/>
        <v>40</v>
      </c>
      <c r="R32" s="14">
        <f t="shared" si="12"/>
        <v>0.02040816327</v>
      </c>
    </row>
    <row r="33" ht="14.25" customHeight="1">
      <c r="A33" s="25"/>
      <c r="B33" s="26" t="s">
        <v>32</v>
      </c>
      <c r="C33" s="26">
        <v>0.0</v>
      </c>
      <c r="D33" s="26">
        <v>0.0</v>
      </c>
      <c r="E33" s="26">
        <v>0.0</v>
      </c>
      <c r="F33" s="26">
        <v>0.0</v>
      </c>
      <c r="G33" s="26">
        <v>0.0</v>
      </c>
      <c r="H33" s="26">
        <v>1.0</v>
      </c>
      <c r="I33" s="26">
        <v>2.0</v>
      </c>
      <c r="J33" s="26">
        <v>2.0</v>
      </c>
      <c r="K33" s="26">
        <v>1.0</v>
      </c>
      <c r="L33" s="26">
        <v>0.0</v>
      </c>
      <c r="M33" s="26">
        <v>0.0</v>
      </c>
      <c r="N33" s="26">
        <v>0.0</v>
      </c>
      <c r="O33" s="26">
        <v>0.0</v>
      </c>
      <c r="P33" s="26">
        <v>0.0</v>
      </c>
      <c r="Q33" s="13">
        <f t="shared" si="11"/>
        <v>6</v>
      </c>
      <c r="R33" s="14">
        <f t="shared" si="12"/>
        <v>0.00306122449</v>
      </c>
    </row>
    <row r="34" ht="14.25" customHeight="1">
      <c r="A34" s="25"/>
      <c r="B34" s="26" t="s">
        <v>33</v>
      </c>
      <c r="C34" s="26">
        <v>14.0</v>
      </c>
      <c r="D34" s="26">
        <v>21.0</v>
      </c>
      <c r="E34" s="26">
        <v>22.0</v>
      </c>
      <c r="F34" s="26">
        <v>32.0</v>
      </c>
      <c r="G34" s="26">
        <v>16.0</v>
      </c>
      <c r="H34" s="26">
        <v>34.0</v>
      </c>
      <c r="I34" s="26">
        <v>21.0</v>
      </c>
      <c r="J34" s="26">
        <v>31.0</v>
      </c>
      <c r="K34" s="26">
        <v>31.0</v>
      </c>
      <c r="L34" s="26">
        <v>17.0</v>
      </c>
      <c r="M34" s="26">
        <v>23.0</v>
      </c>
      <c r="N34" s="26">
        <v>10.0</v>
      </c>
      <c r="O34" s="26">
        <v>13.0</v>
      </c>
      <c r="P34" s="26">
        <v>12.0</v>
      </c>
      <c r="Q34" s="13">
        <f t="shared" si="11"/>
        <v>297</v>
      </c>
      <c r="R34" s="14">
        <f t="shared" si="12"/>
        <v>0.1515306122</v>
      </c>
    </row>
    <row r="35" ht="14.25" customHeight="1">
      <c r="A35" s="25"/>
      <c r="B35" s="15" t="s">
        <v>34</v>
      </c>
      <c r="C35" s="26">
        <v>0.0</v>
      </c>
      <c r="D35" s="26">
        <v>9.0</v>
      </c>
      <c r="E35" s="26">
        <v>6.0</v>
      </c>
      <c r="F35" s="26">
        <v>11.0</v>
      </c>
      <c r="G35" s="26">
        <v>7.0</v>
      </c>
      <c r="H35" s="26">
        <v>7.0</v>
      </c>
      <c r="I35" s="26">
        <v>5.0</v>
      </c>
      <c r="J35" s="26">
        <v>2.0</v>
      </c>
      <c r="K35" s="26">
        <v>2.0</v>
      </c>
      <c r="L35" s="26">
        <v>1.0</v>
      </c>
      <c r="M35" s="26">
        <v>6.0</v>
      </c>
      <c r="N35" s="26">
        <v>3.0</v>
      </c>
      <c r="O35" s="26">
        <v>10.0</v>
      </c>
      <c r="P35" s="26">
        <v>2.0</v>
      </c>
      <c r="Q35" s="13"/>
      <c r="R35" s="14"/>
    </row>
    <row r="36" ht="14.25" customHeight="1">
      <c r="A36" s="25"/>
      <c r="B36" s="26" t="s">
        <v>14</v>
      </c>
      <c r="C36" s="26">
        <v>0.0</v>
      </c>
      <c r="D36" s="26">
        <v>1.0</v>
      </c>
      <c r="E36" s="26">
        <v>6.0</v>
      </c>
      <c r="F36" s="26">
        <v>14.0</v>
      </c>
      <c r="G36" s="26">
        <v>8.0</v>
      </c>
      <c r="H36" s="26">
        <v>14.0</v>
      </c>
      <c r="I36" s="26">
        <v>0.0</v>
      </c>
      <c r="J36" s="26">
        <v>0.0</v>
      </c>
      <c r="K36" s="26">
        <v>0.0</v>
      </c>
      <c r="L36" s="26">
        <v>2.0</v>
      </c>
      <c r="M36" s="26">
        <v>3.0</v>
      </c>
      <c r="N36" s="26">
        <v>4.0</v>
      </c>
      <c r="O36" s="26">
        <v>3.0</v>
      </c>
      <c r="P36" s="26">
        <v>6.0</v>
      </c>
      <c r="Q36" s="13">
        <f>SUM(C36:P36)</f>
        <v>61</v>
      </c>
      <c r="R36" s="14">
        <f>Q36/$Q$15</f>
        <v>0.03112244898</v>
      </c>
    </row>
    <row r="37" ht="14.25" customHeight="1">
      <c r="A37" s="25"/>
      <c r="B37" s="26" t="s">
        <v>35</v>
      </c>
      <c r="C37" s="26">
        <v>0.0</v>
      </c>
      <c r="D37" s="26">
        <v>0.0</v>
      </c>
      <c r="E37" s="26">
        <v>0.0</v>
      </c>
      <c r="F37" s="26">
        <v>0.0</v>
      </c>
      <c r="G37" s="26">
        <v>0.0</v>
      </c>
      <c r="H37" s="26">
        <v>0.0</v>
      </c>
      <c r="I37" s="26">
        <v>0.0</v>
      </c>
      <c r="J37" s="26">
        <v>5.0</v>
      </c>
      <c r="K37" s="26">
        <v>5.0</v>
      </c>
      <c r="L37" s="26">
        <v>5.0</v>
      </c>
      <c r="M37" s="26">
        <v>5.0</v>
      </c>
      <c r="N37" s="26">
        <v>0.0</v>
      </c>
      <c r="O37" s="26">
        <v>0.0</v>
      </c>
      <c r="P37" s="26">
        <v>1.0</v>
      </c>
      <c r="Q37" s="13"/>
      <c r="R37" s="14"/>
    </row>
    <row r="38" ht="14.25" customHeight="1">
      <c r="A38" s="25"/>
      <c r="B38" s="26" t="s">
        <v>36</v>
      </c>
      <c r="C38" s="26">
        <v>10.0</v>
      </c>
      <c r="D38" s="26">
        <v>8.0</v>
      </c>
      <c r="E38" s="26">
        <v>6.0</v>
      </c>
      <c r="F38" s="26">
        <v>9.0</v>
      </c>
      <c r="G38" s="26">
        <v>5.0</v>
      </c>
      <c r="H38" s="26">
        <v>13.0</v>
      </c>
      <c r="I38" s="26">
        <v>4.0</v>
      </c>
      <c r="J38" s="26">
        <v>3.0</v>
      </c>
      <c r="K38" s="26">
        <v>3.0</v>
      </c>
      <c r="L38" s="26">
        <v>2.0</v>
      </c>
      <c r="M38" s="26">
        <v>10.0</v>
      </c>
      <c r="N38" s="26">
        <v>14.0</v>
      </c>
      <c r="O38" s="26">
        <v>10.0</v>
      </c>
      <c r="P38" s="26">
        <v>10.0</v>
      </c>
      <c r="Q38" s="13">
        <f t="shared" ref="Q38:Q46" si="13">SUM(C38:P38)</f>
        <v>107</v>
      </c>
      <c r="R38" s="14">
        <f t="shared" ref="R38:R44" si="14">Q38/$Q$15</f>
        <v>0.05459183673</v>
      </c>
    </row>
    <row r="39" ht="14.25" customHeight="1">
      <c r="A39" s="25"/>
      <c r="B39" s="26" t="s">
        <v>37</v>
      </c>
      <c r="C39" s="26">
        <v>10.0</v>
      </c>
      <c r="D39" s="26">
        <v>25.0</v>
      </c>
      <c r="E39" s="26">
        <v>29.0</v>
      </c>
      <c r="F39" s="26">
        <v>34.0</v>
      </c>
      <c r="G39" s="26">
        <v>24.0</v>
      </c>
      <c r="H39" s="26">
        <v>25.0</v>
      </c>
      <c r="I39" s="26">
        <v>37.0</v>
      </c>
      <c r="J39" s="26">
        <v>24.0</v>
      </c>
      <c r="K39" s="26">
        <v>24.0</v>
      </c>
      <c r="L39" s="26">
        <v>13.0</v>
      </c>
      <c r="M39" s="26">
        <v>13.0</v>
      </c>
      <c r="N39" s="26">
        <v>9.0</v>
      </c>
      <c r="O39" s="26">
        <v>7.0</v>
      </c>
      <c r="P39" s="26">
        <v>6.0</v>
      </c>
      <c r="Q39" s="13">
        <f t="shared" si="13"/>
        <v>280</v>
      </c>
      <c r="R39" s="14">
        <f t="shared" si="14"/>
        <v>0.1428571429</v>
      </c>
    </row>
    <row r="40" ht="14.25" customHeight="1">
      <c r="A40" s="25"/>
      <c r="B40" s="15" t="s">
        <v>38</v>
      </c>
      <c r="C40" s="26">
        <v>10.0</v>
      </c>
      <c r="D40" s="26">
        <v>17.0</v>
      </c>
      <c r="E40" s="26">
        <v>13.0</v>
      </c>
      <c r="F40" s="26">
        <v>12.0</v>
      </c>
      <c r="G40" s="26">
        <v>14.0</v>
      </c>
      <c r="H40" s="26">
        <v>18.0</v>
      </c>
      <c r="I40" s="26">
        <v>19.0</v>
      </c>
      <c r="J40" s="26">
        <v>14.0</v>
      </c>
      <c r="K40" s="26">
        <v>14.0</v>
      </c>
      <c r="L40" s="26">
        <v>0.0</v>
      </c>
      <c r="M40" s="26">
        <v>15.0</v>
      </c>
      <c r="N40" s="26">
        <v>40.0</v>
      </c>
      <c r="O40" s="26">
        <v>27.0</v>
      </c>
      <c r="P40" s="26">
        <v>23.0</v>
      </c>
      <c r="Q40" s="13">
        <f t="shared" si="13"/>
        <v>236</v>
      </c>
      <c r="R40" s="14">
        <f t="shared" si="14"/>
        <v>0.1204081633</v>
      </c>
    </row>
    <row r="41" ht="14.25" customHeight="1">
      <c r="A41" s="25"/>
      <c r="B41" s="34" t="s">
        <v>39</v>
      </c>
      <c r="C41" s="26">
        <v>0.0</v>
      </c>
      <c r="D41" s="26">
        <v>0.0</v>
      </c>
      <c r="E41" s="26">
        <v>0.0</v>
      </c>
      <c r="F41" s="26">
        <v>0.0</v>
      </c>
      <c r="G41" s="26">
        <v>2.0</v>
      </c>
      <c r="H41" s="26">
        <v>0.0</v>
      </c>
      <c r="I41" s="26">
        <v>0.0</v>
      </c>
      <c r="J41" s="26">
        <v>0.0</v>
      </c>
      <c r="K41" s="26">
        <v>0.0</v>
      </c>
      <c r="L41" s="26">
        <v>0.0</v>
      </c>
      <c r="M41" s="26">
        <v>0.0</v>
      </c>
      <c r="N41" s="26">
        <v>0.0</v>
      </c>
      <c r="O41" s="26">
        <v>1.0</v>
      </c>
      <c r="P41" s="26">
        <v>0.0</v>
      </c>
      <c r="Q41" s="13">
        <f t="shared" si="13"/>
        <v>3</v>
      </c>
      <c r="R41" s="14">
        <f t="shared" si="14"/>
        <v>0.001530612245</v>
      </c>
    </row>
    <row r="42" ht="14.25" customHeight="1">
      <c r="A42" s="25"/>
      <c r="B42" s="34" t="s">
        <v>40</v>
      </c>
      <c r="C42" s="26">
        <v>1.0</v>
      </c>
      <c r="D42" s="26">
        <v>3.0</v>
      </c>
      <c r="E42" s="26">
        <v>1.0</v>
      </c>
      <c r="F42" s="26">
        <v>0.0</v>
      </c>
      <c r="G42" s="26">
        <v>0.0</v>
      </c>
      <c r="H42" s="26">
        <v>0.0</v>
      </c>
      <c r="I42" s="26">
        <v>0.0</v>
      </c>
      <c r="J42" s="26">
        <v>0.0</v>
      </c>
      <c r="K42" s="26">
        <v>0.0</v>
      </c>
      <c r="L42" s="26">
        <v>0.0</v>
      </c>
      <c r="M42" s="26">
        <v>0.0</v>
      </c>
      <c r="N42" s="26">
        <v>0.0</v>
      </c>
      <c r="O42" s="26">
        <v>0.0</v>
      </c>
      <c r="P42" s="26">
        <v>0.0</v>
      </c>
      <c r="Q42" s="13">
        <f t="shared" si="13"/>
        <v>5</v>
      </c>
      <c r="R42" s="14">
        <f t="shared" si="14"/>
        <v>0.002551020408</v>
      </c>
    </row>
    <row r="43" ht="14.25" customHeight="1">
      <c r="A43" s="25"/>
      <c r="B43" s="34" t="s">
        <v>41</v>
      </c>
      <c r="C43" s="26">
        <v>0.0</v>
      </c>
      <c r="D43" s="26">
        <v>0.0</v>
      </c>
      <c r="E43" s="26">
        <v>0.0</v>
      </c>
      <c r="F43" s="26">
        <v>0.0</v>
      </c>
      <c r="G43" s="26">
        <v>0.0</v>
      </c>
      <c r="H43" s="26">
        <v>0.0</v>
      </c>
      <c r="I43" s="26">
        <v>0.0</v>
      </c>
      <c r="J43" s="26">
        <v>0.0</v>
      </c>
      <c r="K43" s="26">
        <v>0.0</v>
      </c>
      <c r="L43" s="26">
        <v>0.0</v>
      </c>
      <c r="M43" s="26">
        <v>0.0</v>
      </c>
      <c r="N43" s="26">
        <v>0.0</v>
      </c>
      <c r="O43" s="26">
        <v>0.0</v>
      </c>
      <c r="P43" s="26">
        <v>0.0</v>
      </c>
      <c r="Q43" s="13">
        <f t="shared" si="13"/>
        <v>0</v>
      </c>
      <c r="R43" s="14">
        <f t="shared" si="14"/>
        <v>0</v>
      </c>
    </row>
    <row r="44" ht="14.25" customHeight="1">
      <c r="A44" s="25"/>
      <c r="B44" s="15" t="s">
        <v>42</v>
      </c>
      <c r="C44" s="26">
        <v>0.0</v>
      </c>
      <c r="D44" s="26">
        <v>0.0</v>
      </c>
      <c r="E44" s="26">
        <v>0.0</v>
      </c>
      <c r="F44" s="26">
        <v>0.0</v>
      </c>
      <c r="G44" s="26">
        <v>0.0</v>
      </c>
      <c r="H44" s="26">
        <v>0.0</v>
      </c>
      <c r="I44" s="26">
        <v>0.0</v>
      </c>
      <c r="J44" s="26">
        <v>0.0</v>
      </c>
      <c r="K44" s="26">
        <v>0.0</v>
      </c>
      <c r="L44" s="26">
        <v>0.0</v>
      </c>
      <c r="M44" s="26">
        <v>0.0</v>
      </c>
      <c r="N44" s="26">
        <v>0.0</v>
      </c>
      <c r="O44" s="26">
        <v>0.0</v>
      </c>
      <c r="P44" s="26">
        <v>0.0</v>
      </c>
      <c r="Q44" s="13">
        <f t="shared" si="13"/>
        <v>0</v>
      </c>
      <c r="R44" s="14">
        <f t="shared" si="14"/>
        <v>0</v>
      </c>
    </row>
    <row r="45" ht="14.25" customHeight="1">
      <c r="A45" s="25"/>
      <c r="B45" s="15" t="s">
        <v>43</v>
      </c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13">
        <f t="shared" si="13"/>
        <v>0</v>
      </c>
      <c r="R45" s="14"/>
    </row>
    <row r="46" ht="14.25" customHeight="1">
      <c r="A46" s="25"/>
      <c r="B46" s="15" t="s">
        <v>44</v>
      </c>
      <c r="C46" s="26">
        <v>0.0</v>
      </c>
      <c r="D46" s="26">
        <v>0.0</v>
      </c>
      <c r="E46" s="26">
        <v>1.0</v>
      </c>
      <c r="F46" s="26">
        <v>1.0</v>
      </c>
      <c r="G46" s="26">
        <v>2.0</v>
      </c>
      <c r="H46" s="26">
        <v>1.0</v>
      </c>
      <c r="I46" s="26">
        <v>0.0</v>
      </c>
      <c r="J46" s="26">
        <v>0.0</v>
      </c>
      <c r="K46" s="26">
        <v>0.0</v>
      </c>
      <c r="L46" s="26">
        <v>0.0</v>
      </c>
      <c r="M46" s="26">
        <v>0.0</v>
      </c>
      <c r="N46" s="26">
        <v>0.0</v>
      </c>
      <c r="O46" s="26">
        <v>0.0</v>
      </c>
      <c r="P46" s="26">
        <v>0.0</v>
      </c>
      <c r="Q46" s="13">
        <f t="shared" si="13"/>
        <v>5</v>
      </c>
      <c r="R46" s="14"/>
    </row>
  </sheetData>
  <mergeCells count="3">
    <mergeCell ref="A1:R1"/>
    <mergeCell ref="A18:R18"/>
    <mergeCell ref="A29:R29"/>
  </mergeCell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35" t="str">
        <f>Fluxo!A2</f>
        <v>TOTAL</v>
      </c>
      <c r="F1" s="35">
        <v>2.0</v>
      </c>
      <c r="G1" t="str">
        <f t="array" ref="G1:G18">TRANSPOSE(Dados!2:2)</f>
        <v>ORIGEM</v>
      </c>
    </row>
    <row r="2">
      <c r="F2" s="35">
        <v>3.0</v>
      </c>
      <c r="G2" t="s">
        <v>19</v>
      </c>
    </row>
    <row r="3">
      <c r="A3" t="str">
        <f>Dados!A3</f>
        <v>Santo Amaro</v>
      </c>
      <c r="B3" t="str">
        <f>Dados!B3</f>
        <v>Espinheiro</v>
      </c>
      <c r="F3" s="35">
        <v>4.0</v>
      </c>
      <c r="G3">
        <v>6.0</v>
      </c>
      <c r="Q3">
        <f>HLOOKUP($A$1,Dados!$C$2:$R$14,F1,0)</f>
        <v>35</v>
      </c>
    </row>
    <row r="4">
      <c r="A4" t="str">
        <f>Dados!A4</f>
        <v>Santo Amaro</v>
      </c>
      <c r="B4" t="str">
        <f>Dados!B4</f>
        <v>Boa Vista</v>
      </c>
      <c r="F4" s="35">
        <v>5.0</v>
      </c>
      <c r="G4">
        <v>7.0</v>
      </c>
      <c r="Q4">
        <f>HLOOKUP($A$1,Dados!$C$2:$R$14,F2,0)</f>
        <v>160</v>
      </c>
    </row>
    <row r="5">
      <c r="A5" t="str">
        <f>Dados!A5</f>
        <v>Santo Amaro</v>
      </c>
      <c r="B5" t="str">
        <f>Dados!B5</f>
        <v>Bairro do Recife</v>
      </c>
      <c r="F5" s="35">
        <v>6.0</v>
      </c>
      <c r="G5">
        <v>8.0</v>
      </c>
      <c r="Q5">
        <f>HLOOKUP($A$1,Dados!$C$2:$R$14,F3,0)</f>
        <v>289</v>
      </c>
    </row>
    <row r="6">
      <c r="A6" t="str">
        <f>Dados!A6</f>
        <v>Bairro do Recife</v>
      </c>
      <c r="B6" t="str">
        <f>Dados!B6</f>
        <v>Santo Amaro</v>
      </c>
      <c r="F6" s="35">
        <v>7.0</v>
      </c>
      <c r="G6">
        <v>9.0</v>
      </c>
      <c r="Q6">
        <f>HLOOKUP($A$1,Dados!$C$2:$R$14,F4,0)</f>
        <v>232</v>
      </c>
    </row>
    <row r="7">
      <c r="A7" t="str">
        <f>Dados!A7</f>
        <v>Bairro do Recife</v>
      </c>
      <c r="B7" t="str">
        <f>Dados!B7</f>
        <v>Espinheiro</v>
      </c>
      <c r="F7" s="35">
        <v>8.0</v>
      </c>
      <c r="G7">
        <v>10.0</v>
      </c>
      <c r="Q7">
        <f>HLOOKUP($A$1,Dados!$C$2:$R$14,F5,0)</f>
        <v>326</v>
      </c>
    </row>
    <row r="8">
      <c r="A8" t="str">
        <f>Dados!A8</f>
        <v>Bairro do Recife</v>
      </c>
      <c r="B8" t="str">
        <f>Dados!B8</f>
        <v>Boa Vista</v>
      </c>
      <c r="F8" s="35">
        <v>9.0</v>
      </c>
      <c r="G8">
        <v>11.0</v>
      </c>
      <c r="Q8">
        <f>HLOOKUP($A$1,Dados!$C$2:$R$14,F6,0)</f>
        <v>15</v>
      </c>
    </row>
    <row r="9">
      <c r="A9" t="str">
        <f>Dados!A9</f>
        <v>Boa Vista</v>
      </c>
      <c r="B9" t="str">
        <f>Dados!B9</f>
        <v>Bairro do Recife</v>
      </c>
      <c r="F9" s="35">
        <v>10.0</v>
      </c>
      <c r="G9">
        <v>12.0</v>
      </c>
      <c r="Q9">
        <f>HLOOKUP($A$1,Dados!$C$2:$R$14,F7,0)</f>
        <v>45</v>
      </c>
    </row>
    <row r="10">
      <c r="A10" t="str">
        <f>Dados!A10</f>
        <v>Boa Vista</v>
      </c>
      <c r="B10" t="str">
        <f>Dados!B10</f>
        <v>Santo Amaro</v>
      </c>
      <c r="F10" s="35">
        <v>11.0</v>
      </c>
      <c r="G10">
        <v>13.0</v>
      </c>
      <c r="Q10">
        <f>HLOOKUP($A$1,Dados!$C$2:$R$14,F8,0)</f>
        <v>290</v>
      </c>
    </row>
    <row r="11">
      <c r="A11" t="str">
        <f>Dados!A11</f>
        <v>Boa Vista</v>
      </c>
      <c r="B11" t="str">
        <f>Dados!B11</f>
        <v>Espinheiro</v>
      </c>
      <c r="F11" s="35">
        <v>12.0</v>
      </c>
      <c r="G11">
        <v>14.0</v>
      </c>
      <c r="Q11">
        <f>HLOOKUP($A$1,Dados!$C$2:$R$14,F9,0)</f>
        <v>118</v>
      </c>
    </row>
    <row r="12">
      <c r="A12" t="str">
        <f>Dados!A12</f>
        <v>Espinheiro</v>
      </c>
      <c r="B12" t="str">
        <f>Dados!B12</f>
        <v>Boa Vista</v>
      </c>
      <c r="F12" s="35">
        <v>13.0</v>
      </c>
      <c r="G12">
        <v>15.0</v>
      </c>
      <c r="Q12">
        <f>HLOOKUP($A$1,Dados!$C$2:$R$14,F10,0)</f>
        <v>50</v>
      </c>
    </row>
    <row r="13">
      <c r="A13" t="str">
        <f>Dados!A13</f>
        <v>Espinheiro</v>
      </c>
      <c r="B13" t="str">
        <f>Dados!B13</f>
        <v>Bairro do Recife</v>
      </c>
      <c r="G13">
        <v>16.0</v>
      </c>
      <c r="Q13">
        <f>HLOOKUP($A$1,Dados!$C$2:$R$14,F11,0)</f>
        <v>378</v>
      </c>
    </row>
    <row r="14">
      <c r="A14" t="str">
        <f>Dados!A14</f>
        <v>Espinheiro</v>
      </c>
      <c r="B14" t="str">
        <f>Dados!B14</f>
        <v>Santo Amaro</v>
      </c>
      <c r="G14">
        <v>17.0</v>
      </c>
      <c r="Q14">
        <f>HLOOKUP($A$1,Dados!$C$2:$R$14,F12,0)</f>
        <v>22</v>
      </c>
    </row>
    <row r="15">
      <c r="G15">
        <v>18.0</v>
      </c>
    </row>
    <row r="16">
      <c r="G16">
        <v>19.0</v>
      </c>
    </row>
    <row r="17">
      <c r="G17" t="s">
        <v>20</v>
      </c>
    </row>
    <row r="18">
      <c r="G18" s="36" t="s">
        <v>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37" t="s">
        <v>45</v>
      </c>
    </row>
    <row r="2">
      <c r="A2" s="38" t="s">
        <v>46</v>
      </c>
      <c r="B2" s="39">
        <f>Dados!C2</f>
        <v>6</v>
      </c>
      <c r="C2" s="39">
        <f>Dados!D2</f>
        <v>7</v>
      </c>
      <c r="D2" s="39">
        <f>Dados!E2</f>
        <v>8</v>
      </c>
      <c r="E2" s="39">
        <f>Dados!F2</f>
        <v>9</v>
      </c>
      <c r="F2" s="39">
        <f>Dados!G2</f>
        <v>10</v>
      </c>
      <c r="G2" s="39">
        <f>Dados!H2</f>
        <v>11</v>
      </c>
      <c r="H2" s="39">
        <f>Dados!I2</f>
        <v>12</v>
      </c>
      <c r="I2" s="39">
        <f>Dados!J2</f>
        <v>13</v>
      </c>
      <c r="J2" s="39">
        <f>Dados!K2</f>
        <v>14</v>
      </c>
      <c r="K2" s="39">
        <f>Dados!L2</f>
        <v>15</v>
      </c>
      <c r="L2" s="39">
        <f>Dados!M2</f>
        <v>16</v>
      </c>
      <c r="M2" s="39">
        <f>Dados!N2</f>
        <v>17</v>
      </c>
      <c r="N2" s="39">
        <f>Dados!O2</f>
        <v>18</v>
      </c>
      <c r="O2" s="39">
        <f>Dados!P2</f>
        <v>19</v>
      </c>
    </row>
    <row r="3">
      <c r="A3" s="40" t="s">
        <v>47</v>
      </c>
      <c r="B3" s="41">
        <f>Dados!C15-B4-B5</f>
        <v>92</v>
      </c>
      <c r="C3" s="41">
        <f>Dados!D15-C4-C5</f>
        <v>158</v>
      </c>
      <c r="D3" s="41">
        <f>Dados!E15-D4-D5</f>
        <v>132</v>
      </c>
      <c r="E3" s="41">
        <f>Dados!F15-E4-E5</f>
        <v>123</v>
      </c>
      <c r="F3" s="41">
        <f>Dados!G15-F4-F5</f>
        <v>100</v>
      </c>
      <c r="G3" s="41">
        <f>Dados!H15-G4-G5</f>
        <v>122</v>
      </c>
      <c r="H3" s="41">
        <f>Dados!I15-H4-H5</f>
        <v>122</v>
      </c>
      <c r="I3" s="41">
        <f>Dados!J15-I4-I5</f>
        <v>101</v>
      </c>
      <c r="J3" s="41">
        <f>Dados!K15-J4-J5</f>
        <v>97</v>
      </c>
      <c r="K3" s="41">
        <f>Dados!L15-K4-K5</f>
        <v>82</v>
      </c>
      <c r="L3" s="41">
        <f>Dados!M15-L4-L5</f>
        <v>134</v>
      </c>
      <c r="M3" s="41">
        <f>Dados!N15-M4-M5</f>
        <v>192</v>
      </c>
      <c r="N3" s="41">
        <f>Dados!O15-N4-N5</f>
        <v>177</v>
      </c>
      <c r="O3" s="41">
        <f>Dados!P15-O4-O5</f>
        <v>85</v>
      </c>
    </row>
    <row r="4">
      <c r="A4" s="38" t="s">
        <v>48</v>
      </c>
      <c r="B4" s="39">
        <f>Dados!C20</f>
        <v>11</v>
      </c>
      <c r="C4" s="39">
        <f>Dados!D20</f>
        <v>20</v>
      </c>
      <c r="D4" s="39">
        <f>Dados!E20</f>
        <v>16</v>
      </c>
      <c r="E4" s="39">
        <f>Dados!F20</f>
        <v>17</v>
      </c>
      <c r="F4" s="39">
        <f>Dados!G20</f>
        <v>17</v>
      </c>
      <c r="G4" s="39">
        <f>Dados!H20</f>
        <v>14</v>
      </c>
      <c r="H4" s="39">
        <f>Dados!I20</f>
        <v>12</v>
      </c>
      <c r="I4" s="39">
        <f>Dados!J20</f>
        <v>16</v>
      </c>
      <c r="J4" s="39">
        <f>Dados!K20</f>
        <v>17</v>
      </c>
      <c r="K4" s="39">
        <f>Dados!L20</f>
        <v>11</v>
      </c>
      <c r="L4" s="39">
        <f>Dados!M20</f>
        <v>25</v>
      </c>
      <c r="M4" s="39">
        <f>Dados!N20</f>
        <v>30</v>
      </c>
      <c r="N4" s="39">
        <f>Dados!O20</f>
        <v>15</v>
      </c>
      <c r="O4" s="39">
        <f>Dados!P20</f>
        <v>12</v>
      </c>
    </row>
    <row r="5">
      <c r="A5" s="40" t="s">
        <v>10</v>
      </c>
      <c r="B5" s="41">
        <f>Dados!C21</f>
        <v>0</v>
      </c>
      <c r="C5" s="41">
        <f>Dados!D21</f>
        <v>3</v>
      </c>
      <c r="D5" s="41">
        <f>Dados!E21</f>
        <v>0</v>
      </c>
      <c r="E5" s="41">
        <f>Dados!F21</f>
        <v>0</v>
      </c>
      <c r="F5" s="41">
        <f>Dados!G21</f>
        <v>0</v>
      </c>
      <c r="G5" s="41">
        <f>Dados!H21</f>
        <v>0</v>
      </c>
      <c r="H5" s="41">
        <f>Dados!I21</f>
        <v>0</v>
      </c>
      <c r="I5" s="41">
        <f>Dados!J21</f>
        <v>2</v>
      </c>
      <c r="J5" s="41">
        <f>Dados!K21</f>
        <v>0</v>
      </c>
      <c r="K5" s="41">
        <f>Dados!L21</f>
        <v>1</v>
      </c>
      <c r="L5" s="41">
        <f>Dados!M21</f>
        <v>3</v>
      </c>
      <c r="M5" s="41">
        <f>Dados!N21</f>
        <v>1</v>
      </c>
      <c r="N5" s="41">
        <f>Dados!O21</f>
        <v>0</v>
      </c>
      <c r="O5" s="41">
        <f>Dados!P21</f>
        <v>0</v>
      </c>
    </row>
    <row r="7">
      <c r="A7" s="42" t="s">
        <v>49</v>
      </c>
    </row>
    <row r="8">
      <c r="A8" s="43" t="s">
        <v>50</v>
      </c>
      <c r="B8" s="39">
        <v>6.0</v>
      </c>
      <c r="C8" s="39">
        <v>7.0</v>
      </c>
      <c r="D8" s="39">
        <v>8.0</v>
      </c>
      <c r="E8" s="39">
        <v>9.0</v>
      </c>
      <c r="F8" s="39">
        <v>10.0</v>
      </c>
      <c r="G8" s="39">
        <v>11.0</v>
      </c>
      <c r="H8" s="39">
        <v>12.0</v>
      </c>
      <c r="I8" s="39">
        <v>13.0</v>
      </c>
      <c r="J8" s="39">
        <v>14.0</v>
      </c>
      <c r="K8" s="39">
        <v>15.0</v>
      </c>
      <c r="L8" s="39">
        <v>16.0</v>
      </c>
      <c r="M8" s="39">
        <v>17.0</v>
      </c>
      <c r="N8" s="39">
        <v>18.0</v>
      </c>
      <c r="O8" s="39">
        <v>19.0</v>
      </c>
    </row>
    <row r="9">
      <c r="A9" s="44" t="s">
        <v>48</v>
      </c>
      <c r="B9" s="45">
        <f>B4/Dados!C$15</f>
        <v>0.1067961165</v>
      </c>
      <c r="C9" s="45">
        <f>C4/Dados!D$15</f>
        <v>0.1104972376</v>
      </c>
      <c r="D9" s="45">
        <f>D4/Dados!E$15</f>
        <v>0.1081081081</v>
      </c>
      <c r="E9" s="45">
        <f>E4/Dados!F$15</f>
        <v>0.1214285714</v>
      </c>
      <c r="F9" s="45">
        <f>F4/Dados!G$15</f>
        <v>0.1452991453</v>
      </c>
      <c r="G9" s="45">
        <f>G4/Dados!H$15</f>
        <v>0.1029411765</v>
      </c>
      <c r="H9" s="45">
        <f>H4/Dados!I$15</f>
        <v>0.08955223881</v>
      </c>
      <c r="I9" s="45">
        <f>I4/Dados!J$15</f>
        <v>0.1344537815</v>
      </c>
      <c r="J9" s="45">
        <f>J4/Dados!K$15</f>
        <v>0.149122807</v>
      </c>
      <c r="K9" s="45">
        <f>K4/Dados!L$15</f>
        <v>0.1170212766</v>
      </c>
      <c r="L9" s="45">
        <f>L4/Dados!M$15</f>
        <v>0.1543209877</v>
      </c>
      <c r="M9" s="45">
        <f>M4/Dados!N$15</f>
        <v>0.134529148</v>
      </c>
      <c r="N9" s="45">
        <f>N4/Dados!O$15</f>
        <v>0.078125</v>
      </c>
      <c r="O9" s="45">
        <f>O4/Dados!P$15</f>
        <v>0.1237113402</v>
      </c>
    </row>
    <row r="10">
      <c r="A10" s="43" t="s">
        <v>10</v>
      </c>
      <c r="B10" s="46">
        <f>B5/Dados!C$15</f>
        <v>0</v>
      </c>
      <c r="C10" s="46">
        <f>C5/Dados!D$15</f>
        <v>0.01657458564</v>
      </c>
      <c r="D10" s="46">
        <f>D5/Dados!E$15</f>
        <v>0</v>
      </c>
      <c r="E10" s="46">
        <f>E5/Dados!F$15</f>
        <v>0</v>
      </c>
      <c r="F10" s="46">
        <f>F5/Dados!G$15</f>
        <v>0</v>
      </c>
      <c r="G10" s="46">
        <f>G5/Dados!H$15</f>
        <v>0</v>
      </c>
      <c r="H10" s="46">
        <f>H5/Dados!I$15</f>
        <v>0</v>
      </c>
      <c r="I10" s="46">
        <f>I5/Dados!J$15</f>
        <v>0.01680672269</v>
      </c>
      <c r="J10" s="46">
        <f>J5/Dados!K$15</f>
        <v>0</v>
      </c>
      <c r="K10" s="46">
        <f>K5/Dados!L$15</f>
        <v>0.01063829787</v>
      </c>
      <c r="L10" s="46">
        <f>L5/Dados!M$15</f>
        <v>0.01851851852</v>
      </c>
      <c r="M10" s="46">
        <f>M5/Dados!N$15</f>
        <v>0.004484304933</v>
      </c>
      <c r="N10" s="46">
        <f>N5/Dados!O$15</f>
        <v>0</v>
      </c>
      <c r="O10" s="46">
        <f>O5/Dados!P$15</f>
        <v>0</v>
      </c>
    </row>
    <row r="12">
      <c r="A12" s="47" t="str">
        <f>Dados!B19</f>
        <v>Característica</v>
      </c>
      <c r="B12" s="48" t="str">
        <f>Dados!R19</f>
        <v>%</v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</row>
    <row r="13">
      <c r="A13" s="47" t="str">
        <f>Dados!B20</f>
        <v>Mulher</v>
      </c>
      <c r="B13" s="48">
        <f>Dados!R20</f>
        <v>0.118877551</v>
      </c>
    </row>
    <row r="14">
      <c r="A14" s="47" t="str">
        <f>Dados!B21</f>
        <v>Crianças e adolescentes</v>
      </c>
      <c r="B14" s="48">
        <f>Dados!R21</f>
        <v>0.005102040816</v>
      </c>
    </row>
    <row r="15">
      <c r="A15" s="47" t="str">
        <f>Dados!B22</f>
        <v>Capacete</v>
      </c>
      <c r="B15" s="48">
        <f>Dados!R22</f>
        <v>0.07704081633</v>
      </c>
    </row>
    <row r="16">
      <c r="A16" s="47" t="s">
        <v>12</v>
      </c>
      <c r="B16" s="48">
        <f>SUM(Dados!R31:R33)</f>
        <v>0.06224489796</v>
      </c>
    </row>
    <row r="17">
      <c r="A17" s="47" t="str">
        <f>Dados!B34</f>
        <v>Cargueira</v>
      </c>
      <c r="B17" s="48">
        <f>Dados!R34</f>
        <v>0.1515306122</v>
      </c>
    </row>
    <row r="18">
      <c r="A18" s="47" t="str">
        <f>Dados!B36</f>
        <v>Serviço</v>
      </c>
      <c r="B18" s="48">
        <f>Dados!R36</f>
        <v>0.03112244898</v>
      </c>
    </row>
    <row r="19">
      <c r="A19" s="47" t="str">
        <f>Dados!B38</f>
        <v>Contramao</v>
      </c>
      <c r="B19" s="48">
        <f>Dados!R38</f>
        <v>0.05459183673</v>
      </c>
    </row>
    <row r="20">
      <c r="A20" s="47" t="str">
        <f>Dados!B27</f>
        <v>Calçada</v>
      </c>
      <c r="B20" s="48">
        <f>Dados!R27</f>
        <v>0.01989795918</v>
      </c>
    </row>
    <row r="21">
      <c r="A21" s="49"/>
      <c r="B21" s="49"/>
    </row>
    <row r="22">
      <c r="A22" s="49"/>
      <c r="B22" s="49"/>
    </row>
    <row r="23">
      <c r="A23" s="49"/>
      <c r="B23" s="49"/>
    </row>
    <row r="24">
      <c r="A24" s="49"/>
      <c r="B24" s="49"/>
    </row>
    <row r="25">
      <c r="A25" s="49"/>
      <c r="B25" s="49"/>
    </row>
    <row r="26">
      <c r="A26" s="49"/>
      <c r="B26" s="49"/>
    </row>
    <row r="27">
      <c r="A27" s="49"/>
      <c r="B27" s="49"/>
    </row>
    <row r="28">
      <c r="A28" s="49"/>
      <c r="B28" s="49"/>
    </row>
    <row r="29">
      <c r="A29" s="49"/>
      <c r="B29" s="49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50" t="s">
        <v>51</v>
      </c>
      <c r="B1" s="51"/>
      <c r="C1" s="52"/>
      <c r="D1" s="53"/>
      <c r="E1" s="54" t="str">
        <f>UPPER(CONFFLUXO!A3)</f>
        <v>SANTO AMARO</v>
      </c>
      <c r="F1" s="51"/>
      <c r="G1" s="52"/>
      <c r="H1" s="55"/>
      <c r="I1" s="55"/>
      <c r="J1" s="55"/>
      <c r="K1" s="55"/>
    </row>
    <row r="2" ht="22.5" customHeight="1">
      <c r="A2" s="50" t="s">
        <v>20</v>
      </c>
      <c r="B2" s="51"/>
      <c r="C2" s="52"/>
      <c r="D2" s="53"/>
      <c r="E2" s="56">
        <f>SUM(E3:G3)</f>
        <v>484</v>
      </c>
      <c r="F2" s="51"/>
      <c r="G2" s="52"/>
      <c r="H2" s="55"/>
      <c r="I2" s="55"/>
      <c r="J2" s="55"/>
      <c r="K2" s="55"/>
    </row>
    <row r="3" ht="22.5" customHeight="1">
      <c r="A3" s="57"/>
      <c r="B3" s="57"/>
      <c r="C3" s="57"/>
      <c r="D3" s="58"/>
      <c r="E3" s="59">
        <f>CONFFLUXO!Q3</f>
        <v>35</v>
      </c>
      <c r="F3" s="59">
        <f>CONFFLUXO!Q4</f>
        <v>160</v>
      </c>
      <c r="G3" s="59">
        <f>CONFFLUXO!Q5</f>
        <v>289</v>
      </c>
      <c r="H3" s="55"/>
      <c r="I3" s="55"/>
      <c r="J3" s="55"/>
      <c r="K3" s="55"/>
    </row>
    <row r="4" ht="25.5" customHeight="1">
      <c r="A4" s="60"/>
      <c r="B4" s="60"/>
      <c r="C4" s="57"/>
      <c r="D4" s="57"/>
      <c r="E4" s="55"/>
      <c r="F4" s="55"/>
      <c r="G4" s="55"/>
      <c r="H4" s="61"/>
      <c r="I4" s="61"/>
      <c r="J4" s="62"/>
      <c r="K4" s="62"/>
    </row>
    <row r="5" ht="71.25" customHeight="1">
      <c r="A5" s="63" t="str">
        <f>UPPER(CONFFLUXO!A12)</f>
        <v>ESPINHEIRO</v>
      </c>
      <c r="B5" s="64">
        <f>SUM(C5:C7)</f>
        <v>450</v>
      </c>
      <c r="C5" s="65">
        <f>CONFFLUXO!Q14</f>
        <v>22</v>
      </c>
      <c r="D5" s="57"/>
      <c r="E5" s="55"/>
      <c r="F5" s="55"/>
      <c r="G5" s="55"/>
      <c r="H5" s="61"/>
      <c r="I5" s="66">
        <f>CONFFLUXO!Q6</f>
        <v>232</v>
      </c>
      <c r="J5" s="67">
        <f>SUM(I5:I7)</f>
        <v>573</v>
      </c>
      <c r="K5" s="68" t="str">
        <f>UPPER(CONFFLUXO!A6)</f>
        <v>BAIRRO DO RECIFE</v>
      </c>
    </row>
    <row r="6" ht="71.25" customHeight="1">
      <c r="A6" s="69"/>
      <c r="B6" s="69"/>
      <c r="C6" s="65">
        <f>CONFFLUXO!Q13</f>
        <v>378</v>
      </c>
      <c r="D6" s="57"/>
      <c r="E6" s="55"/>
      <c r="F6" s="70">
        <f>SUM(E3:G3,I5:I7,E9:G9,C5:C7)</f>
        <v>1960</v>
      </c>
      <c r="G6" s="55"/>
      <c r="H6" s="61"/>
      <c r="I6" s="66">
        <f>CONFFLUXO!Q7</f>
        <v>326</v>
      </c>
      <c r="J6" s="69"/>
      <c r="K6" s="69"/>
    </row>
    <row r="7" ht="71.25" customHeight="1">
      <c r="A7" s="71"/>
      <c r="B7" s="71"/>
      <c r="C7" s="65">
        <f>CONFFLUXO!Q12</f>
        <v>50</v>
      </c>
      <c r="D7" s="57"/>
      <c r="E7" s="55"/>
      <c r="F7" s="55"/>
      <c r="G7" s="55"/>
      <c r="H7" s="61"/>
      <c r="I7" s="66">
        <f>CONFFLUXO!Q8</f>
        <v>15</v>
      </c>
      <c r="J7" s="71"/>
      <c r="K7" s="71"/>
    </row>
    <row r="8" ht="27.0" customHeight="1">
      <c r="A8" s="57"/>
      <c r="B8" s="57"/>
      <c r="C8" s="57"/>
      <c r="D8" s="57"/>
      <c r="E8" s="55"/>
      <c r="F8" s="55"/>
      <c r="G8" s="55"/>
      <c r="H8" s="55"/>
      <c r="I8" s="55"/>
      <c r="J8" s="55"/>
      <c r="K8" s="55"/>
    </row>
    <row r="9" ht="22.5" customHeight="1">
      <c r="A9" s="57"/>
      <c r="B9" s="57"/>
      <c r="C9" s="72"/>
      <c r="D9" s="72"/>
      <c r="E9" s="73">
        <f>CONFFLUXO!Q11</f>
        <v>118</v>
      </c>
      <c r="F9" s="73">
        <f>CONFFLUXO!Q10</f>
        <v>290</v>
      </c>
      <c r="G9" s="73">
        <f>CONFFLUXO!Q9</f>
        <v>45</v>
      </c>
      <c r="H9" s="55"/>
      <c r="I9" s="55"/>
      <c r="J9" s="55"/>
      <c r="K9" s="55"/>
    </row>
    <row r="10" ht="22.5" customHeight="1">
      <c r="A10" s="57"/>
      <c r="B10" s="57"/>
      <c r="C10" s="57"/>
      <c r="D10" s="57"/>
      <c r="E10" s="74">
        <f>SUM(E9:G9)</f>
        <v>453</v>
      </c>
      <c r="F10" s="51"/>
      <c r="G10" s="52"/>
      <c r="H10" s="55"/>
      <c r="I10" s="55"/>
      <c r="J10" s="55"/>
      <c r="K10" s="55"/>
    </row>
    <row r="11" ht="22.5" customHeight="1">
      <c r="A11" s="57"/>
      <c r="B11" s="57"/>
      <c r="C11" s="57"/>
      <c r="D11" s="57"/>
      <c r="E11" s="54" t="str">
        <f>UPPER(CONFFLUXO!A9)</f>
        <v>BOA VISTA</v>
      </c>
      <c r="F11" s="51"/>
      <c r="G11" s="52"/>
      <c r="H11" s="55"/>
      <c r="I11" s="55"/>
      <c r="J11" s="55"/>
      <c r="K11" s="75">
        <f>MAX(3:3,I:I,9:9,C:C)</f>
        <v>378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drawing r:id="rId1"/>
</worksheet>
</file>