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hidden" name="Rui Barbosa" sheetId="5" r:id="rId8"/>
    <sheet state="hidden" name="LAMA-FORTE" sheetId="6" r:id="rId9"/>
    <sheet state="visible" name="Fluxo" sheetId="7" r:id="rId10"/>
    <sheet state="hidden" name="Gráficos - antigo" sheetId="8" r:id="rId11"/>
  </sheets>
  <definedNames/>
  <calcPr/>
</workbook>
</file>

<file path=xl/sharedStrings.xml><?xml version="1.0" encoding="utf-8"?>
<sst xmlns="http://schemas.openxmlformats.org/spreadsheetml/2006/main" count="177" uniqueCount="92">
  <si>
    <t>Cruzamento</t>
  </si>
  <si>
    <t>Av. Beberibe x Av. Prof. José dos Anjos</t>
  </si>
  <si>
    <t>Data</t>
  </si>
  <si>
    <t>Coordenadas Geográficas</t>
  </si>
  <si>
    <t>-8.02793, -34.89293</t>
  </si>
  <si>
    <t>Relatório</t>
  </si>
  <si>
    <t>https://drive.google.com/file/d/0B2qmPJcv0zhjdFd2QUNCbWEwZVE/view?usp=sharing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</si>
  <si>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</si>
  <si>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</si>
  <si>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</si>
  <si>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</si>
  <si>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</si>
  <si>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</si>
  <si>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</si>
  <si>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</si>
  <si>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</si>
  <si>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</si>
  <si>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</si>
  <si>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</si>
  <si>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</si>
  <si>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</si>
  <si>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</si>
  <si>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Água Fria</t>
  </si>
  <si>
    <t>Casa Amarela</t>
  </si>
  <si>
    <t>Encruzilhada</t>
  </si>
  <si>
    <t>Campo Grande</t>
  </si>
  <si>
    <t>Percentual</t>
  </si>
  <si>
    <t>Dados qualitativos padrões</t>
  </si>
  <si>
    <t>Característica</t>
  </si>
  <si>
    <t>Carona</t>
  </si>
  <si>
    <t>Cargueira</t>
  </si>
  <si>
    <t>Contramao</t>
  </si>
  <si>
    <t>Dados qualitativos das observações</t>
  </si>
  <si>
    <t>Chuveu</t>
  </si>
  <si>
    <t>Contramão para conversão</t>
  </si>
  <si>
    <t>Triciclo</t>
  </si>
  <si>
    <t>Eletrica</t>
  </si>
  <si>
    <t>Skate</t>
  </si>
  <si>
    <t>Handbike</t>
  </si>
  <si>
    <t>Ciclistas por hora</t>
  </si>
  <si>
    <t>Horário inpicio</t>
  </si>
  <si>
    <t xml:space="preserve">Homens
</t>
  </si>
  <si>
    <t>Mulheres</t>
  </si>
  <si>
    <t>Ciclistas por hora %</t>
  </si>
  <si>
    <t>Horário</t>
  </si>
  <si>
    <t>6h às 7h</t>
  </si>
  <si>
    <t>7h às 8h</t>
  </si>
  <si>
    <t>8h às 9h</t>
  </si>
  <si>
    <t>9h às 10h</t>
  </si>
  <si>
    <t>10h às 11h</t>
  </si>
  <si>
    <t>11h às 12h</t>
  </si>
  <si>
    <t>12h às 13h</t>
  </si>
  <si>
    <t>13h às 14h</t>
  </si>
  <si>
    <t>14h às 15h</t>
  </si>
  <si>
    <t>15h às 16h</t>
  </si>
  <si>
    <t>16h às 17h</t>
  </si>
  <si>
    <t xml:space="preserve">17h às 18h </t>
  </si>
  <si>
    <t xml:space="preserve">18h às 19h </t>
  </si>
  <si>
    <t>19h às 20h</t>
  </si>
  <si>
    <t>Centro -&gt; Espinheiro</t>
  </si>
  <si>
    <t>Centro -&gt; Parnamirim</t>
  </si>
  <si>
    <t>Centro -&gt; Torre</t>
  </si>
  <si>
    <t>Espinheiro -&gt; Centro</t>
  </si>
  <si>
    <t>Espinheiro -&gt; Torre</t>
  </si>
  <si>
    <t>Espinheiro -&gt; Parnamirim</t>
  </si>
  <si>
    <t>Torre -&gt; Centro</t>
  </si>
  <si>
    <t>Torre -&gt; Espinheiro</t>
  </si>
  <si>
    <t>Torre -&gt; Parnamirim</t>
  </si>
  <si>
    <t>Parnamirim -&gt; Espinheiro</t>
  </si>
  <si>
    <t>Parnamirim -&gt; Centro</t>
  </si>
  <si>
    <t>Parnamirim -&gt; Torre</t>
  </si>
  <si>
    <t>Carga</t>
  </si>
  <si>
    <t>Homem</t>
  </si>
  <si>
    <t>Monociclo</t>
  </si>
  <si>
    <t>Crianças</t>
  </si>
  <si>
    <t>Cax -&gt; Engenho</t>
  </si>
  <si>
    <t>Cax -&gt; Abdias</t>
  </si>
  <si>
    <t>Cax -&gt; Centro</t>
  </si>
  <si>
    <t>Engenho -&gt; Cax</t>
  </si>
  <si>
    <t>Engenho -&gt; Centro</t>
  </si>
  <si>
    <t>Engenho -&gt; Abdias</t>
  </si>
  <si>
    <t>Centro -&gt; Cax</t>
  </si>
  <si>
    <t>Centro -&gt; Engenho</t>
  </si>
  <si>
    <t>Centro -&gt; Abdias</t>
  </si>
  <si>
    <t>Abdias -&gt; Engenho</t>
  </si>
  <si>
    <t>Abdias -&gt; Cax</t>
  </si>
  <si>
    <t>Abdias -&gt; Centro</t>
  </si>
  <si>
    <t>% capacete/hora</t>
  </si>
  <si>
    <t>HORÁRIO</t>
  </si>
  <si>
    <t>Arruda</t>
  </si>
  <si>
    <t>Rui Barbosa</t>
  </si>
  <si>
    <t>Lama-forte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</si>
</sst>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&quot;/&quot;yyyy"/>
    <numFmt numFmtId="165" formatCode="0.0%"/>
    <numFmt numFmtId="166" formatCode="m/d/yyyy h:mm:ss"/>
  </numFmts>
  <fonts count="18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u/>
      <sz val="12.0"/>
      <color rgb="FF0000FF"/>
      <name val="Ubuntu"/>
    </font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>
      <sz val="12.0"/>
      <color rgb="FF000000"/>
      <name val="'docs-Ubuntu'"/>
    </font>
    <font/>
    <font>
      <sz val="9.0"/>
      <color rgb="FF000000"/>
      <name val="Calibri"/>
    </font>
    <font>
      <b/>
      <sz val="9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12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46524"/>
        <bgColor rgb="FFF46524"/>
      </patternFill>
    </fill>
    <fill>
      <patternFill patternType="solid">
        <fgColor rgb="FFFFE6DD"/>
        <bgColor rgb="FFFFE6DD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  <fill>
      <patternFill patternType="solid">
        <fgColor rgb="FF7F7F7F"/>
        <bgColor rgb="FF7F7F7F"/>
      </patternFill>
    </fill>
    <fill>
      <patternFill patternType="solid">
        <fgColor rgb="FF8DB3E2"/>
        <bgColor rgb="FF8DB3E2"/>
      </patternFill>
    </fill>
    <fill>
      <patternFill patternType="solid">
        <fgColor rgb="FFFFFF00"/>
        <bgColor rgb="FFFFFF00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shrinkToFit="0" wrapText="1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3" numFmtId="0" xfId="0" applyAlignment="1" applyFont="1">
      <alignment readingOrder="0" shrinkToFit="0" wrapText="1"/>
    </xf>
    <xf borderId="0" fillId="2" fontId="1" numFmtId="0" xfId="0" applyAlignment="1" applyFont="1">
      <alignment shrinkToFit="0" vertical="bottom" wrapText="1"/>
    </xf>
    <xf borderId="0" fillId="0" fontId="2" numFmtId="165" xfId="0" applyAlignment="1" applyFont="1" applyNumberFormat="1">
      <alignment horizontal="right" shrinkToFit="0" vertical="bottom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5" numFmtId="10" xfId="0" applyAlignment="1" applyFont="1" applyNumberFormat="1">
      <alignment horizontal="center" shrinkToFit="0" vertical="center" wrapText="0"/>
    </xf>
    <xf borderId="0" fillId="4" fontId="5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6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165" xfId="0" applyAlignment="1" applyFont="1" applyNumberFormat="1">
      <alignment horizontal="center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wrapText="1"/>
    </xf>
    <xf borderId="0" fillId="0" fontId="8" numFmtId="165" xfId="0" applyAlignment="1" applyFont="1" applyNumberFormat="1">
      <alignment shrinkToFit="0" wrapText="1"/>
    </xf>
    <xf borderId="0" fillId="5" fontId="8" numFmtId="0" xfId="0" applyAlignment="1" applyFill="1" applyFont="1">
      <alignment horizontal="center" readingOrder="0" shrinkToFit="0" wrapText="1"/>
    </xf>
    <xf borderId="0" fillId="4" fontId="8" numFmtId="0" xfId="0" applyAlignment="1" applyFont="1">
      <alignment readingOrder="0" shrinkToFit="0" wrapText="1"/>
    </xf>
    <xf borderId="0" fillId="4" fontId="8" numFmtId="0" xfId="0" applyAlignment="1" applyFont="1">
      <alignment shrinkToFit="0" wrapText="1"/>
    </xf>
    <xf borderId="0" fillId="6" fontId="8" numFmtId="0" xfId="0" applyAlignment="1" applyFill="1" applyFont="1">
      <alignment readingOrder="0" shrinkToFit="0" wrapText="1"/>
    </xf>
    <xf borderId="0" fillId="6" fontId="8" numFmtId="0" xfId="0" applyAlignment="1" applyFont="1">
      <alignment shrinkToFit="0" wrapText="1"/>
    </xf>
    <xf borderId="0" fillId="7" fontId="8" numFmtId="0" xfId="0" applyAlignment="1" applyFill="1" applyFont="1">
      <alignment horizontal="center" readingOrder="0" shrinkToFit="0" wrapText="1"/>
    </xf>
    <xf borderId="0" fillId="4" fontId="8" numFmtId="0" xfId="0" applyAlignment="1" applyFont="1">
      <alignment readingOrder="0" shrinkToFit="0" wrapText="1"/>
    </xf>
    <xf borderId="0" fillId="8" fontId="8" numFmtId="0" xfId="0" applyAlignment="1" applyFill="1" applyFont="1">
      <alignment readingOrder="0" shrinkToFit="0" wrapText="1"/>
    </xf>
    <xf borderId="0" fillId="8" fontId="8" numFmtId="165" xfId="0" applyAlignment="1" applyFont="1" applyNumberFormat="1">
      <alignment shrinkToFit="0" wrapText="1"/>
    </xf>
    <xf borderId="0" fillId="4" fontId="8" numFmtId="165" xfId="0" applyAlignment="1" applyFont="1" applyNumberFormat="1">
      <alignment shrinkToFit="0" wrapText="1"/>
    </xf>
    <xf borderId="0" fillId="0" fontId="8" numFmtId="0" xfId="0" applyAlignment="1" applyFont="1">
      <alignment horizontal="center" readingOrder="0" shrinkToFit="0" wrapText="1"/>
    </xf>
    <xf borderId="0" fillId="0" fontId="8" numFmtId="165" xfId="0" applyAlignment="1" applyFont="1" applyNumberFormat="1">
      <alignment horizontal="center" readingOrder="0" shrinkToFit="0" wrapText="1"/>
    </xf>
    <xf borderId="0" fillId="0" fontId="8" numFmtId="0" xfId="0" applyAlignment="1" applyFont="1">
      <alignment horizontal="center" readingOrder="0" shrinkToFit="0" wrapText="1"/>
    </xf>
    <xf borderId="0" fillId="9" fontId="9" numFmtId="0" xfId="0" applyAlignment="1" applyFill="1" applyFont="1">
      <alignment shrinkToFit="0" vertical="bottom" wrapText="0"/>
    </xf>
    <xf borderId="0" fillId="10" fontId="10" numFmtId="166" xfId="0" applyAlignment="1" applyFill="1" applyFont="1" applyNumberForma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4" fontId="10" numFmtId="0" xfId="0" applyAlignment="1" applyFont="1">
      <alignment horizontal="center" readingOrder="0" shrinkToFit="0" vertical="center" wrapText="0"/>
    </xf>
    <xf borderId="0" fillId="0" fontId="10" numFmtId="10" xfId="0" applyAlignment="1" applyFont="1" applyNumberFormat="1">
      <alignment horizontal="center" readingOrder="0" shrinkToFit="0" vertical="center" wrapText="0"/>
    </xf>
    <xf borderId="1" fillId="9" fontId="9" numFmtId="0" xfId="0" applyAlignment="1" applyBorder="1" applyFont="1">
      <alignment shrinkToFit="0" vertical="bottom" wrapText="0"/>
    </xf>
    <xf borderId="2" fillId="10" fontId="10" numFmtId="166" xfId="0" applyAlignment="1" applyBorder="1" applyFont="1" applyNumberFormat="1">
      <alignment horizontal="center" readingOrder="0" shrinkToFit="0" vertical="center" wrapText="0"/>
    </xf>
    <xf borderId="3" fillId="0" fontId="10" numFmtId="0" xfId="0" applyAlignment="1" applyBorder="1" applyFont="1">
      <alignment horizontal="center" readingOrder="0" shrinkToFit="0" vertical="center" wrapText="0"/>
    </xf>
    <xf borderId="3" fillId="4" fontId="10" numFmtId="0" xfId="0" applyAlignment="1" applyBorder="1" applyFont="1">
      <alignment horizontal="center" readingOrder="0" shrinkToFit="0" vertical="center" wrapText="0"/>
    </xf>
    <xf borderId="4" fillId="0" fontId="10" numFmtId="0" xfId="0" applyAlignment="1" applyBorder="1" applyFont="1">
      <alignment horizontal="center" readingOrder="0" shrinkToFit="0" vertical="center" wrapText="0"/>
    </xf>
    <xf borderId="1" fillId="0" fontId="10" numFmtId="0" xfId="0" applyAlignment="1" applyBorder="1" applyFont="1">
      <alignment horizontal="center" readingOrder="0" shrinkToFit="0" vertical="center" wrapText="0"/>
    </xf>
    <xf borderId="1" fillId="0" fontId="10" numFmtId="10" xfId="0" applyAlignment="1" applyBorder="1" applyFont="1" applyNumberFormat="1">
      <alignment horizontal="center" readingOrder="0" shrinkToFit="0" vertical="center" wrapText="0"/>
    </xf>
    <xf borderId="0" fillId="4" fontId="10" numFmtId="0" xfId="0" applyAlignment="1" applyFont="1">
      <alignment readingOrder="0" shrinkToFit="0" vertical="bottom" wrapText="0"/>
    </xf>
    <xf borderId="5" fillId="4" fontId="10" numFmtId="0" xfId="0" applyAlignment="1" applyBorder="1" applyFont="1">
      <alignment readingOrder="0" shrinkToFit="0" vertical="bottom" wrapText="0"/>
    </xf>
    <xf borderId="6" fillId="0" fontId="11" numFmtId="0" xfId="0" applyAlignment="1" applyBorder="1" applyFont="1">
      <alignment horizontal="center" readingOrder="0" shrinkToFit="0" vertical="center" wrapText="0"/>
    </xf>
    <xf borderId="7" fillId="0" fontId="11" numFmtId="0" xfId="0" applyAlignment="1" applyBorder="1" applyFont="1">
      <alignment horizontal="center" readingOrder="0" shrinkToFit="0" vertical="center" wrapText="0"/>
    </xf>
    <xf borderId="8" fillId="0" fontId="11" numFmtId="0" xfId="0" applyAlignment="1" applyBorder="1" applyFont="1">
      <alignment horizontal="center" readingOrder="0" shrinkToFit="0" vertical="center" wrapText="0"/>
    </xf>
    <xf borderId="5" fillId="11" fontId="11" numFmtId="0" xfId="0" applyAlignment="1" applyBorder="1" applyFill="1" applyFont="1">
      <alignment horizontal="center" shrinkToFit="0" vertical="center" wrapText="0"/>
    </xf>
    <xf borderId="5" fillId="0" fontId="11" numFmtId="10" xfId="0" applyAlignment="1" applyBorder="1" applyFont="1" applyNumberFormat="1">
      <alignment horizontal="center" shrinkToFit="0" vertical="center" wrapText="0"/>
    </xf>
    <xf borderId="9" fillId="4" fontId="10" numFmtId="0" xfId="0" applyAlignment="1" applyBorder="1" applyFont="1">
      <alignment readingOrder="0" shrinkToFit="0" vertical="bottom" wrapText="0"/>
    </xf>
    <xf borderId="10" fillId="0" fontId="11" numFmtId="0" xfId="0" applyAlignment="1" applyBorder="1" applyFont="1">
      <alignment horizontal="center" readingOrder="0" shrinkToFit="0" vertical="center" wrapText="0"/>
    </xf>
    <xf borderId="0" fillId="0" fontId="11" numFmtId="0" xfId="0" applyAlignment="1" applyFont="1">
      <alignment horizontal="center" readingOrder="0" shrinkToFit="0" vertical="center" wrapText="0"/>
    </xf>
    <xf borderId="11" fillId="0" fontId="11" numFmtId="0" xfId="0" applyAlignment="1" applyBorder="1" applyFont="1">
      <alignment horizontal="center" readingOrder="0" shrinkToFit="0" vertical="center" wrapText="0"/>
    </xf>
    <xf borderId="9" fillId="11" fontId="11" numFmtId="0" xfId="0" applyAlignment="1" applyBorder="1" applyFont="1">
      <alignment horizontal="center" shrinkToFit="0" vertical="center" wrapText="0"/>
    </xf>
    <xf borderId="9" fillId="0" fontId="11" numFmtId="10" xfId="0" applyAlignment="1" applyBorder="1" applyFont="1" applyNumberFormat="1">
      <alignment horizontal="center" shrinkToFit="0" vertical="center" wrapText="0"/>
    </xf>
    <xf borderId="12" fillId="4" fontId="10" numFmtId="0" xfId="0" applyAlignment="1" applyBorder="1" applyFont="1">
      <alignment readingOrder="0" shrinkToFit="0" vertical="bottom" wrapText="0"/>
    </xf>
    <xf borderId="13" fillId="0" fontId="11" numFmtId="0" xfId="0" applyAlignment="1" applyBorder="1" applyFont="1">
      <alignment horizontal="center" readingOrder="0" shrinkToFit="0" vertical="center" wrapText="0"/>
    </xf>
    <xf borderId="14" fillId="0" fontId="11" numFmtId="0" xfId="0" applyAlignment="1" applyBorder="1" applyFont="1">
      <alignment horizontal="center" readingOrder="0" shrinkToFit="0" vertical="center" wrapText="0"/>
    </xf>
    <xf borderId="15" fillId="0" fontId="11" numFmtId="0" xfId="0" applyAlignment="1" applyBorder="1" applyFont="1">
      <alignment horizontal="center" readingOrder="0" shrinkToFit="0" vertical="center" wrapText="0"/>
    </xf>
    <xf borderId="12" fillId="11" fontId="11" numFmtId="0" xfId="0" applyAlignment="1" applyBorder="1" applyFont="1">
      <alignment horizontal="center" shrinkToFit="0" vertical="center" wrapText="0"/>
    </xf>
    <xf borderId="12" fillId="0" fontId="11" numFmtId="10" xfId="0" applyAlignment="1" applyBorder="1" applyFont="1" applyNumberFormat="1">
      <alignment horizontal="center" shrinkToFit="0" vertical="center" wrapText="0"/>
    </xf>
    <xf borderId="0" fillId="0" fontId="10" numFmtId="10" xfId="0" applyAlignment="1" applyFont="1" applyNumberFormat="1">
      <alignment readingOrder="0" shrinkToFit="0" vertical="bottom" wrapText="0"/>
    </xf>
    <xf borderId="1" fillId="0" fontId="10" numFmtId="10" xfId="0" applyAlignment="1" applyBorder="1" applyFont="1" applyNumberFormat="1">
      <alignment readingOrder="0" shrinkToFit="0" vertical="bottom" wrapText="0"/>
    </xf>
    <xf borderId="2" fillId="0" fontId="11" numFmtId="10" xfId="0" applyAlignment="1" applyBorder="1" applyFont="1" applyNumberFormat="1">
      <alignment horizontal="center" shrinkToFit="0" vertical="center" wrapText="0"/>
    </xf>
    <xf borderId="3" fillId="0" fontId="11" numFmtId="10" xfId="0" applyAlignment="1" applyBorder="1" applyFont="1" applyNumberFormat="1">
      <alignment horizontal="center" shrinkToFit="0" vertical="center" wrapText="0"/>
    </xf>
    <xf borderId="4" fillId="0" fontId="11" numFmtId="10" xfId="0" applyAlignment="1" applyBorder="1" applyFont="1" applyNumberFormat="1">
      <alignment horizontal="center" shrinkToFit="0" vertical="center" wrapText="0"/>
    </xf>
    <xf borderId="1" fillId="11" fontId="11" numFmtId="10" xfId="0" applyAlignment="1" applyBorder="1" applyFont="1" applyNumberFormat="1">
      <alignment horizontal="center" shrinkToFit="0" vertical="center" wrapText="0"/>
    </xf>
    <xf borderId="1" fillId="9" fontId="9" numFmtId="0" xfId="0" applyAlignment="1" applyBorder="1" applyFont="1">
      <alignment horizontal="center" shrinkToFit="0" vertical="center" wrapText="0"/>
    </xf>
    <xf borderId="0" fillId="0" fontId="10" numFmtId="0" xfId="0" applyAlignment="1" applyFont="1">
      <alignment readingOrder="0" shrinkToFit="0" vertical="bottom" wrapText="0"/>
    </xf>
    <xf borderId="1" fillId="0" fontId="10" numFmtId="0" xfId="0" applyAlignment="1" applyBorder="1" applyFont="1">
      <alignment readingOrder="0" shrinkToFit="0" vertical="bottom" wrapText="0"/>
    </xf>
    <xf borderId="2" fillId="11" fontId="12" numFmtId="0" xfId="0" applyAlignment="1" applyBorder="1" applyFont="1">
      <alignment horizontal="center" shrinkToFit="0" vertical="center" wrapText="0"/>
    </xf>
    <xf borderId="3" fillId="11" fontId="12" numFmtId="0" xfId="0" applyAlignment="1" applyBorder="1" applyFont="1">
      <alignment horizontal="center" shrinkToFit="0" vertical="center" wrapText="0"/>
    </xf>
    <xf borderId="4" fillId="11" fontId="12" numFmtId="0" xfId="0" applyAlignment="1" applyBorder="1" applyFont="1">
      <alignment horizontal="center" shrinkToFit="0" vertical="center" wrapText="0"/>
    </xf>
    <xf borderId="1" fillId="11" fontId="12" numFmtId="0" xfId="0" applyAlignment="1" applyBorder="1" applyFont="1">
      <alignment horizontal="center" shrinkToFit="0" vertical="center" wrapText="0"/>
    </xf>
    <xf borderId="1" fillId="11" fontId="12" numFmtId="10" xfId="0" applyAlignment="1" applyBorder="1" applyFont="1" applyNumberFormat="1">
      <alignment horizontal="center" shrinkToFit="0" vertical="center" wrapText="0"/>
    </xf>
    <xf borderId="5" fillId="0" fontId="10" numFmtId="0" xfId="0" applyAlignment="1" applyBorder="1" applyFont="1">
      <alignment readingOrder="0" shrinkToFit="0" vertical="bottom" wrapText="0"/>
    </xf>
    <xf borderId="1" fillId="0" fontId="11" numFmtId="10" xfId="0" applyAlignment="1" applyBorder="1" applyFont="1" applyNumberFormat="1">
      <alignment horizontal="center" shrinkToFit="0" vertical="center" wrapText="0"/>
    </xf>
    <xf borderId="9" fillId="0" fontId="10" numFmtId="0" xfId="0" applyAlignment="1" applyBorder="1" applyFont="1">
      <alignment readingOrder="0" shrinkToFit="0" vertical="bottom" wrapText="0"/>
    </xf>
    <xf borderId="10" fillId="0" fontId="11" numFmtId="0" xfId="0" applyAlignment="1" applyBorder="1" applyFont="1">
      <alignment horizontal="center" shrinkToFit="0" vertical="center" wrapText="0"/>
    </xf>
    <xf borderId="0" fillId="0" fontId="11" numFmtId="0" xfId="0" applyAlignment="1" applyFont="1">
      <alignment horizontal="center" shrinkToFit="0" vertical="center" wrapText="0"/>
    </xf>
    <xf borderId="11" fillId="0" fontId="11" numFmtId="0" xfId="0" applyAlignment="1" applyBorder="1" applyFont="1">
      <alignment horizontal="center" shrinkToFit="0" vertical="center" wrapText="0"/>
    </xf>
    <xf borderId="10" fillId="0" fontId="10" numFmtId="0" xfId="0" applyAlignment="1" applyBorder="1" applyFont="1">
      <alignment readingOrder="0" shrinkToFit="0" vertical="bottom" wrapText="0"/>
    </xf>
    <xf borderId="13" fillId="0" fontId="10" numFmtId="0" xfId="0" applyAlignment="1" applyBorder="1" applyFont="1">
      <alignment readingOrder="0" shrinkToFit="0" vertical="bottom" wrapText="0"/>
    </xf>
    <xf borderId="0" fillId="0" fontId="10" numFmtId="10" xfId="0" applyAlignment="1" applyFont="1" applyNumberFormat="1">
      <alignment shrinkToFit="0" vertical="bottom" wrapText="0"/>
    </xf>
    <xf borderId="2" fillId="0" fontId="10" numFmtId="10" xfId="0" applyAlignment="1" applyBorder="1" applyFont="1" applyNumberFormat="1">
      <alignment shrinkToFit="0" vertical="bottom" wrapText="0"/>
    </xf>
    <xf borderId="0" fillId="0" fontId="11" numFmtId="10" xfId="0" applyAlignment="1" applyFont="1" applyNumberFormat="1">
      <alignment horizontal="center" shrinkToFit="0" vertical="center" wrapText="0"/>
    </xf>
    <xf borderId="4" fillId="9" fontId="9" numFmtId="0" xfId="0" applyAlignment="1" applyBorder="1" applyFont="1">
      <alignment horizontal="center" shrinkToFit="0" vertical="center" wrapText="0"/>
    </xf>
    <xf borderId="0" fillId="10" fontId="10" numFmtId="0" xfId="0" applyAlignment="1" applyFont="1">
      <alignment horizontal="center" readingOrder="0" shrinkToFit="0" vertical="center" wrapText="0"/>
    </xf>
    <xf borderId="3" fillId="10" fontId="10" numFmtId="0" xfId="0" applyAlignment="1" applyBorder="1" applyFont="1">
      <alignment horizontal="center" readingOrder="0" shrinkToFit="0" vertical="center" wrapText="0"/>
    </xf>
    <xf borderId="12" fillId="0" fontId="10" numFmtId="0" xfId="0" applyAlignment="1" applyBorder="1" applyFont="1">
      <alignment readingOrder="0" shrinkToFit="0" vertical="bottom" wrapText="0"/>
    </xf>
    <xf borderId="2" fillId="0" fontId="10" numFmtId="10" xfId="0" applyAlignment="1" applyBorder="1" applyFont="1" applyNumberFormat="1">
      <alignment readingOrder="0" shrinkToFit="0" vertical="bottom" wrapText="0"/>
    </xf>
    <xf borderId="6" fillId="0" fontId="11" numFmtId="0" xfId="0" applyAlignment="1" applyBorder="1" applyFont="1">
      <alignment horizontal="center" shrinkToFit="0" vertical="center" wrapText="0"/>
    </xf>
    <xf borderId="16" fillId="0" fontId="13" numFmtId="0" xfId="0" applyAlignment="1" applyBorder="1" applyFont="1">
      <alignment horizontal="center" readingOrder="0" shrinkToFit="0" textRotation="0" vertical="center" wrapText="1"/>
    </xf>
    <xf borderId="17" fillId="0" fontId="8" numFmtId="0" xfId="0" applyAlignment="1" applyBorder="1" applyFont="1">
      <alignment shrinkToFit="0" wrapText="1"/>
    </xf>
    <xf borderId="18" fillId="0" fontId="8" numFmtId="0" xfId="0" applyAlignment="1" applyBorder="1" applyFont="1">
      <alignment shrinkToFit="0" wrapText="1"/>
    </xf>
    <xf borderId="19" fillId="0" fontId="13" numFmtId="0" xfId="0" applyAlignment="1" applyBorder="1" applyFont="1">
      <alignment horizontal="center" readingOrder="0" shrinkToFit="0" textRotation="0" vertical="center" wrapText="1"/>
    </xf>
    <xf borderId="16" fillId="2" fontId="14" numFmtId="0" xfId="0" applyAlignment="1" applyBorder="1" applyFont="1">
      <alignment horizontal="center" readingOrder="0" shrinkToFit="0" vertical="center" wrapText="1"/>
    </xf>
    <xf borderId="19" fillId="0" fontId="13" numFmtId="0" xfId="0" applyAlignment="1" applyBorder="1" applyFont="1">
      <alignment horizontal="center" shrinkToFit="0" vertical="center" wrapText="1"/>
    </xf>
    <xf borderId="16" fillId="3" fontId="14" numFmtId="0" xfId="0" applyAlignment="1" applyBorder="1" applyFont="1">
      <alignment horizontal="center" shrinkToFit="0" vertical="center" wrapText="1"/>
    </xf>
    <xf borderId="19" fillId="0" fontId="13" numFmtId="0" xfId="0" applyAlignment="1" applyBorder="1" applyFont="1">
      <alignment horizontal="center" shrinkToFit="0" textRotation="90" vertical="center" wrapText="1"/>
    </xf>
    <xf borderId="19" fillId="0" fontId="13" numFmtId="0" xfId="0" applyAlignment="1" applyBorder="1" applyFont="1">
      <alignment horizontal="center" shrinkToFit="0" textRotation="90" vertical="bottom" wrapText="1"/>
    </xf>
    <xf borderId="19" fillId="0" fontId="13" numFmtId="0" xfId="0" applyAlignment="1" applyBorder="1" applyFont="1">
      <alignment horizontal="center" shrinkToFit="0" vertical="bottom" wrapText="1"/>
    </xf>
    <xf borderId="19" fillId="0" fontId="15" numFmtId="0" xfId="0" applyAlignment="1" applyBorder="1" applyFont="1">
      <alignment horizontal="center" readingOrder="0" shrinkToFit="0" textRotation="90" vertical="center" wrapText="1"/>
    </xf>
    <xf borderId="19" fillId="0" fontId="13" numFmtId="0" xfId="0" applyAlignment="1" applyBorder="1" applyFont="1">
      <alignment horizontal="center" shrinkToFit="0" textRotation="180" vertical="center" wrapText="1"/>
    </xf>
    <xf borderId="19" fillId="0" fontId="15" numFmtId="0" xfId="0" applyAlignment="1" applyBorder="1" applyFont="1">
      <alignment horizontal="center" readingOrder="0" shrinkToFit="0" textRotation="180" vertical="center" wrapText="1"/>
    </xf>
    <xf borderId="20" fillId="2" fontId="14" numFmtId="0" xfId="0" applyAlignment="1" applyBorder="1" applyFont="1">
      <alignment horizontal="center" readingOrder="0" shrinkToFit="0" textRotation="90" vertical="center" wrapText="1"/>
    </xf>
    <xf borderId="20" fillId="3" fontId="14" numFmtId="0" xfId="0" applyAlignment="1" applyBorder="1" applyFont="1">
      <alignment horizontal="center" readingOrder="0" shrinkToFit="0" textRotation="90" vertical="center" wrapText="1"/>
    </xf>
    <xf borderId="19" fillId="0" fontId="13" numFmtId="0" xfId="0" applyAlignment="1" applyBorder="1" applyFont="1">
      <alignment horizontal="right" shrinkToFit="0" textRotation="90" vertical="center" wrapText="1"/>
    </xf>
    <xf borderId="19" fillId="0" fontId="13" numFmtId="0" xfId="0" applyAlignment="1" applyBorder="1" applyFont="1">
      <alignment horizontal="left" shrinkToFit="0" textRotation="180" vertical="center" wrapText="1"/>
    </xf>
    <xf borderId="20" fillId="3" fontId="14" numFmtId="0" xfId="0" applyAlignment="1" applyBorder="1" applyFont="1">
      <alignment horizontal="center" readingOrder="0" shrinkToFit="0" textRotation="180" vertical="center" wrapText="1"/>
    </xf>
    <xf borderId="20" fillId="2" fontId="14" numFmtId="0" xfId="0" applyAlignment="1" applyBorder="1" applyFont="1">
      <alignment horizontal="center" readingOrder="0" shrinkToFit="0" textRotation="180" vertical="center" wrapText="1"/>
    </xf>
    <xf borderId="21" fillId="0" fontId="8" numFmtId="0" xfId="0" applyAlignment="1" applyBorder="1" applyFont="1">
      <alignment shrinkToFit="0" wrapText="1"/>
    </xf>
    <xf borderId="19" fillId="2" fontId="16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wrapText="1"/>
    </xf>
    <xf borderId="19" fillId="0" fontId="13" numFmtId="0" xfId="0" applyAlignment="1" applyBorder="1" applyFont="1">
      <alignment horizontal="center" shrinkToFit="0" textRotation="90" vertical="top" wrapText="1"/>
    </xf>
    <xf borderId="19" fillId="0" fontId="13" numFmtId="0" xfId="0" applyAlignment="1" applyBorder="1" applyFont="1">
      <alignment horizontal="center" shrinkToFit="0" vertical="top" wrapText="1"/>
    </xf>
    <xf borderId="16" fillId="3" fontId="14" numFmtId="0" xfId="0" applyAlignment="1" applyBorder="1" applyFont="1">
      <alignment horizontal="center" readingOrder="0" shrinkToFit="0" vertical="center" wrapText="1"/>
    </xf>
    <xf borderId="19" fillId="0" fontId="1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readingOrder="0" shrinkToFit="0" wrapText="1"/>
    </xf>
    <xf borderId="0" fillId="0" fontId="8" numFmtId="10" xfId="0" applyAlignment="1" applyFont="1" applyNumberFormat="1">
      <alignment shrinkToFit="0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4"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923805968"/>
        <c:axId val="1109819342"/>
      </c:barChart>
      <c:catAx>
        <c:axId val="1923805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09819342"/>
      </c:catAx>
      <c:valAx>
        <c:axId val="11098193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238059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4652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4913762"/>
        <c:axId val="1693738011"/>
      </c:barChart>
      <c:catAx>
        <c:axId val="49137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93738011"/>
      </c:catAx>
      <c:valAx>
        <c:axId val="16937380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9137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357145368"/>
        <c:axId val="1043223079"/>
      </c:barChart>
      <c:catAx>
        <c:axId val="35714536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43223079"/>
      </c:catAx>
      <c:valAx>
        <c:axId val="10432230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5714536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Roboto"/>
              </a:defRPr>
            </a:pPr>
            <a:r>
              <a:rPr b="1" sz="1600">
                <a:solidFill>
                  <a:srgbClr val="000000"/>
                </a:solidFill>
                <a:latin typeface="Roboto"/>
              </a:rPr>
              <a:t>Ciclistas/hora</a:t>
            </a:r>
          </a:p>
        </c:rich>
      </c:tx>
      <c:overlay val="0"/>
    </c:title>
    <c:plotArea>
      <c:layout>
        <c:manualLayout>
          <c:xMode val="edge"/>
          <c:yMode val="edge"/>
          <c:x val="0.0703"/>
          <c:y val="0.19197"/>
          <c:w val="0.91213"/>
          <c:h val="0.6178"/>
        </c:manualLayout>
      </c:layout>
      <c:lineChart>
        <c:ser>
          <c:idx val="0"/>
          <c:order val="0"/>
          <c:tx>
            <c:strRef>
              <c:f>'Gráficos - antigo'!$A$1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val>
            <c:numRef>
              <c:f>'Gráficos - antigo'!$B$1:$O$1</c:f>
              <c:numCache/>
            </c:numRef>
          </c:val>
          <c:smooth val="1"/>
        </c:ser>
        <c:ser>
          <c:idx val="1"/>
          <c:order val="1"/>
          <c:tx>
            <c:strRef>
              <c:f>'Gráficos - antigo'!$A$2</c:f>
            </c:strRef>
          </c:tx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val>
            <c:numRef>
              <c:f>'Gráficos - antigo'!$B$2:$O$2</c:f>
              <c:numCache/>
            </c:numRef>
          </c:val>
          <c:smooth val="1"/>
        </c:ser>
        <c:ser>
          <c:idx val="2"/>
          <c:order val="2"/>
          <c:tx>
            <c:strRef>
              <c:f>'Gráficos - antigo'!$A$3</c:f>
            </c:strRef>
          </c:tx>
          <c:spPr>
            <a:ln cmpd="sng">
              <a:solidFill>
                <a:srgbClr val="FF9900"/>
              </a:solidFill>
            </a:ln>
          </c:spPr>
          <c:marker>
            <c:symbol val="none"/>
          </c:marker>
          <c:val>
            <c:numRef>
              <c:f>'Gráficos - antigo'!$B$3:$O$3</c:f>
              <c:numCache/>
            </c:numRef>
          </c:val>
          <c:smooth val="1"/>
        </c:ser>
        <c:ser>
          <c:idx val="3"/>
          <c:order val="3"/>
          <c:tx>
            <c:strRef>
              <c:f>'Gráficos - antigo'!$A$4</c:f>
            </c:strRef>
          </c:tx>
          <c:spPr>
            <a:ln cmpd="sng">
              <a:solidFill>
                <a:srgbClr val="109618"/>
              </a:solidFill>
            </a:ln>
          </c:spPr>
          <c:marker>
            <c:symbol val="none"/>
          </c:marker>
          <c:val>
            <c:numRef>
              <c:f>'Gráficos - antigo'!$B$4:$O$4</c:f>
              <c:numCache/>
            </c:numRef>
          </c:val>
          <c:smooth val="1"/>
        </c:ser>
        <c:axId val="899001524"/>
        <c:axId val="1989825185"/>
      </c:lineChart>
      <c:catAx>
        <c:axId val="8990015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89825185"/>
      </c:catAx>
      <c:valAx>
        <c:axId val="19898251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99001524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Roboto"/>
              </a:defRPr>
            </a:pPr>
            <a:r>
              <a:rPr b="1" sz="1600">
                <a:solidFill>
                  <a:srgbClr val="000000"/>
                </a:solidFill>
                <a:latin typeface="Roboto"/>
              </a:rPr>
              <a:t>Características ciclistas</a:t>
            </a:r>
          </a:p>
        </c:rich>
      </c:tx>
      <c:overlay val="0"/>
    </c:title>
    <c:plotArea>
      <c:layout>
        <c:manualLayout>
          <c:xMode val="edge"/>
          <c:yMode val="edge"/>
          <c:x val="0.12828"/>
          <c:y val="0.19349"/>
          <c:w val="0.83304"/>
          <c:h val="0.7361500000000001"/>
        </c:manualLayout>
      </c:layout>
      <c:barChart>
        <c:barDir val="bar"/>
        <c:ser>
          <c:idx val="0"/>
          <c:order val="0"/>
          <c:tx>
            <c:strRef>
              <c:f>'Gráficos - antigo'!$B$7</c:f>
            </c:strRef>
          </c:tx>
          <c:spPr>
            <a:solidFill>
              <a:srgbClr val="3366CC"/>
            </a:solidFill>
            <a:ln cmpd="sng">
              <a:solidFill>
                <a:srgbClr val="000000"/>
              </a:solidFill>
            </a:ln>
          </c:spPr>
          <c:cat>
            <c:strRef>
              <c:f>'Gráficos - antigo'!$A$8:$A$17</c:f>
            </c:strRef>
          </c:cat>
          <c:val>
            <c:numRef>
              <c:f>'Gráficos - antigo'!$B$8:$B$17</c:f>
              <c:numCache/>
            </c:numRef>
          </c:val>
        </c:ser>
        <c:ser>
          <c:idx val="1"/>
          <c:order val="1"/>
          <c:tx>
            <c:strRef>
              <c:f>'Gráficos - antigo'!$C$7</c:f>
            </c:strRef>
          </c:tx>
          <c:spPr>
            <a:solidFill>
              <a:srgbClr val="DC3912"/>
            </a:solidFill>
            <a:ln cmpd="sng">
              <a:solidFill>
                <a:srgbClr val="000000"/>
              </a:solidFill>
            </a:ln>
          </c:spPr>
          <c:cat>
            <c:strRef>
              <c:f>'Gráficos - antigo'!$A$8:$A$17</c:f>
            </c:strRef>
          </c:cat>
          <c:val>
            <c:numRef>
              <c:f>'Gráficos - antigo'!$C$8:$C$17</c:f>
              <c:numCache/>
            </c:numRef>
          </c:val>
        </c:ser>
        <c:ser>
          <c:idx val="2"/>
          <c:order val="2"/>
          <c:tx>
            <c:strRef>
              <c:f>'Gráficos - antigo'!$D$7</c:f>
            </c:strRef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cat>
            <c:strRef>
              <c:f>'Gráficos - antigo'!$A$8:$A$17</c:f>
            </c:strRef>
          </c:cat>
          <c:val>
            <c:numRef>
              <c:f>'Gráficos - antigo'!$D$8:$D$17</c:f>
              <c:numCache/>
            </c:numRef>
          </c:val>
        </c:ser>
        <c:axId val="1871221248"/>
        <c:axId val="1960850690"/>
      </c:barChart>
      <c:catAx>
        <c:axId val="18712212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60850690"/>
      </c:catAx>
      <c:valAx>
        <c:axId val="1960850690"/>
        <c:scaling>
          <c:orientation val="minMax"/>
          <c:max val="0.25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71221248"/>
        <c:crosses val="max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10</xdr:row>
      <xdr:rowOff>133350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657225</xdr:colOff>
      <xdr:row>16</xdr:row>
      <xdr:rowOff>447675</xdr:rowOff>
    </xdr:from>
    <xdr:ext cx="5419725" cy="363855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57150</xdr:colOff>
      <xdr:row>17</xdr:row>
      <xdr:rowOff>342900</xdr:rowOff>
    </xdr:from>
    <xdr:ext cx="5362575" cy="360997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1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B20:P27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31:P36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4.xml><?xml version="1.0" encoding="utf-8"?>
<table xmlns="http://schemas.openxmlformats.org/spreadsheetml/2006/main" ref="A12:B20" displayName="Table_4" name="Table_4" id="4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0B2qmPJcv0zhjdFd2QUNCbWEwZVE/view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36.88"/>
  </cols>
  <sheetData>
    <row r="1">
      <c r="A1" s="1" t="s">
        <v>0</v>
      </c>
      <c r="B1" s="2" t="s">
        <v>1</v>
      </c>
    </row>
    <row r="2">
      <c r="A2" s="1" t="s">
        <v>2</v>
      </c>
      <c r="B2" s="3">
        <v>41389.0</v>
      </c>
    </row>
    <row r="3">
      <c r="A3" s="4" t="s">
        <v>3</v>
      </c>
      <c r="B3" s="5" t="s">
        <v>4</v>
      </c>
    </row>
    <row r="4">
      <c r="A4" s="4" t="s">
        <v>5</v>
      </c>
      <c r="B4" s="6" t="s">
        <v>6</v>
      </c>
    </row>
    <row r="5">
      <c r="A5" s="4" t="s">
        <v>7</v>
      </c>
      <c r="B5" s="2">
        <f>Dados!Q15</f>
        <v>3723</v>
      </c>
    </row>
    <row r="6">
      <c r="A6" s="4" t="s">
        <v>8</v>
      </c>
      <c r="B6" s="2">
        <f>MAX(Dados!C15:P15)</f>
        <v>490</v>
      </c>
    </row>
    <row r="7">
      <c r="A7" s="7" t="s">
        <v>9</v>
      </c>
      <c r="B7" s="8">
        <f>Dados!R20</f>
        <v>0.05774912705</v>
      </c>
    </row>
    <row r="8">
      <c r="A8" s="7" t="s">
        <v>10</v>
      </c>
      <c r="B8" s="8">
        <f>Dados!R21</f>
        <v>0.003223207091</v>
      </c>
    </row>
    <row r="9">
      <c r="A9" s="7" t="s">
        <v>11</v>
      </c>
      <c r="B9" s="8">
        <f>Dados!R22</f>
        <v>0.01692183723</v>
      </c>
    </row>
    <row r="10">
      <c r="A10" s="7" t="s">
        <v>12</v>
      </c>
      <c r="B10" s="8">
        <f>Dados!R23</f>
        <v>0.04458769809</v>
      </c>
    </row>
    <row r="11">
      <c r="A11" s="7" t="s">
        <v>13</v>
      </c>
      <c r="B11" s="8">
        <f>Dados!R24</f>
        <v>0.09884501746</v>
      </c>
    </row>
    <row r="12">
      <c r="A12" s="7" t="s">
        <v>14</v>
      </c>
      <c r="B12" s="8">
        <f>Dados!R25</f>
        <v>0.03062046737</v>
      </c>
    </row>
    <row r="13">
      <c r="A13" s="7" t="s">
        <v>15</v>
      </c>
      <c r="B13" s="8">
        <f>Dados!R26</f>
        <v>0.07843137255</v>
      </c>
    </row>
    <row r="14">
      <c r="A14" s="7" t="s">
        <v>16</v>
      </c>
      <c r="B14" s="8">
        <f>Dados!R27</f>
        <v>0</v>
      </c>
    </row>
  </sheetData>
  <hyperlinks>
    <hyperlink r:id="rId1" ref="B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2" width="14.25"/>
    <col customWidth="1" min="3" max="16" width="8.63"/>
    <col customWidth="1" min="17" max="17" width="8.75"/>
    <col customWidth="1" min="18" max="18" width="8.5"/>
  </cols>
  <sheetData>
    <row r="1" ht="12.0" customHeight="1">
      <c r="A1" s="9" t="s">
        <v>17</v>
      </c>
    </row>
    <row r="2" ht="12.0" customHeight="1">
      <c r="A2" s="10" t="s">
        <v>18</v>
      </c>
      <c r="B2" s="10" t="s">
        <v>19</v>
      </c>
      <c r="C2" s="11">
        <v>6.0</v>
      </c>
      <c r="D2" s="11">
        <v>7.0</v>
      </c>
      <c r="E2" s="11">
        <v>8.0</v>
      </c>
      <c r="F2" s="11">
        <v>9.0</v>
      </c>
      <c r="G2" s="11">
        <v>10.0</v>
      </c>
      <c r="H2" s="11">
        <v>11.0</v>
      </c>
      <c r="I2" s="11">
        <v>12.0</v>
      </c>
      <c r="J2" s="11">
        <v>13.0</v>
      </c>
      <c r="K2" s="11">
        <v>14.0</v>
      </c>
      <c r="L2" s="11">
        <v>15.0</v>
      </c>
      <c r="M2" s="11">
        <v>16.0</v>
      </c>
      <c r="N2" s="11">
        <v>17.0</v>
      </c>
      <c r="O2" s="11">
        <v>18.0</v>
      </c>
      <c r="P2" s="11">
        <v>19.0</v>
      </c>
      <c r="Q2" s="12" t="s">
        <v>20</v>
      </c>
      <c r="R2" s="13" t="s">
        <v>21</v>
      </c>
    </row>
    <row r="3" ht="14.25" customHeight="1">
      <c r="A3" s="14" t="s">
        <v>22</v>
      </c>
      <c r="B3" s="14" t="s">
        <v>23</v>
      </c>
      <c r="C3" s="15">
        <v>8.0</v>
      </c>
      <c r="D3" s="15">
        <v>7.0</v>
      </c>
      <c r="E3" s="15">
        <v>6.0</v>
      </c>
      <c r="F3" s="15">
        <v>4.0</v>
      </c>
      <c r="G3" s="15">
        <v>6.0</v>
      </c>
      <c r="H3" s="15">
        <v>4.0</v>
      </c>
      <c r="I3" s="15">
        <v>3.0</v>
      </c>
      <c r="J3" s="15">
        <v>4.0</v>
      </c>
      <c r="K3" s="15">
        <v>6.0</v>
      </c>
      <c r="L3" s="15">
        <v>6.0</v>
      </c>
      <c r="M3" s="15">
        <v>5.0</v>
      </c>
      <c r="N3" s="15">
        <v>7.0</v>
      </c>
      <c r="O3" s="15">
        <v>1.0</v>
      </c>
      <c r="P3" s="15">
        <v>20.0</v>
      </c>
      <c r="Q3" s="16">
        <f t="shared" ref="Q3:Q14" si="1">SUM(C3:P3)</f>
        <v>87</v>
      </c>
      <c r="R3" s="17">
        <f t="shared" ref="R3:R14" si="2">Q3/$Q$15</f>
        <v>0.02336825141</v>
      </c>
    </row>
    <row r="4" ht="14.25" customHeight="1">
      <c r="A4" s="14" t="s">
        <v>22</v>
      </c>
      <c r="B4" s="14" t="s">
        <v>24</v>
      </c>
      <c r="C4" s="15">
        <v>212.0</v>
      </c>
      <c r="D4" s="15">
        <v>130.0</v>
      </c>
      <c r="E4" s="15">
        <v>99.0</v>
      </c>
      <c r="F4" s="15">
        <v>56.0</v>
      </c>
      <c r="G4" s="15">
        <v>40.0</v>
      </c>
      <c r="H4" s="15">
        <v>45.0</v>
      </c>
      <c r="I4" s="15">
        <v>45.0</v>
      </c>
      <c r="J4" s="15">
        <v>60.0</v>
      </c>
      <c r="K4" s="15">
        <v>59.0</v>
      </c>
      <c r="L4" s="15">
        <v>51.0</v>
      </c>
      <c r="M4" s="15">
        <v>38.0</v>
      </c>
      <c r="N4" s="15">
        <v>45.0</v>
      </c>
      <c r="O4" s="15">
        <v>33.0</v>
      </c>
      <c r="P4" s="15">
        <v>18.0</v>
      </c>
      <c r="Q4" s="16">
        <f t="shared" si="1"/>
        <v>931</v>
      </c>
      <c r="R4" s="17">
        <f t="shared" si="2"/>
        <v>0.2500671501</v>
      </c>
    </row>
    <row r="5" ht="14.25" customHeight="1">
      <c r="A5" s="14" t="s">
        <v>22</v>
      </c>
      <c r="B5" s="14" t="s">
        <v>25</v>
      </c>
      <c r="C5" s="15">
        <v>0.0</v>
      </c>
      <c r="D5" s="15">
        <v>7.0</v>
      </c>
      <c r="E5" s="15">
        <v>3.0</v>
      </c>
      <c r="F5" s="15">
        <v>4.0</v>
      </c>
      <c r="G5" s="15">
        <v>7.0</v>
      </c>
      <c r="H5" s="15">
        <v>3.0</v>
      </c>
      <c r="I5" s="15">
        <v>3.0</v>
      </c>
      <c r="J5" s="15">
        <v>7.0</v>
      </c>
      <c r="K5" s="15">
        <v>6.0</v>
      </c>
      <c r="L5" s="15">
        <v>3.0</v>
      </c>
      <c r="M5" s="15">
        <v>6.0</v>
      </c>
      <c r="N5" s="15">
        <v>3.0</v>
      </c>
      <c r="O5" s="15">
        <v>8.0</v>
      </c>
      <c r="P5" s="15">
        <v>4.0</v>
      </c>
      <c r="Q5" s="16">
        <f t="shared" si="1"/>
        <v>64</v>
      </c>
      <c r="R5" s="17">
        <f t="shared" si="2"/>
        <v>0.01719043782</v>
      </c>
    </row>
    <row r="6" ht="14.25" customHeight="1">
      <c r="A6" s="14" t="s">
        <v>25</v>
      </c>
      <c r="B6" s="14" t="s">
        <v>22</v>
      </c>
      <c r="C6" s="15">
        <v>6.0</v>
      </c>
      <c r="D6" s="15">
        <v>3.0</v>
      </c>
      <c r="E6" s="15">
        <v>4.0</v>
      </c>
      <c r="F6" s="15">
        <v>7.0</v>
      </c>
      <c r="G6" s="15">
        <v>6.0</v>
      </c>
      <c r="H6" s="15">
        <v>1.0</v>
      </c>
      <c r="I6" s="15">
        <v>5.0</v>
      </c>
      <c r="J6" s="15">
        <v>5.0</v>
      </c>
      <c r="K6" s="15">
        <v>6.0</v>
      </c>
      <c r="L6" s="15">
        <v>2.0</v>
      </c>
      <c r="M6" s="15">
        <v>2.0</v>
      </c>
      <c r="N6" s="15">
        <v>8.0</v>
      </c>
      <c r="O6" s="15">
        <v>7.0</v>
      </c>
      <c r="P6" s="15">
        <v>3.0</v>
      </c>
      <c r="Q6" s="16">
        <f t="shared" si="1"/>
        <v>65</v>
      </c>
      <c r="R6" s="17">
        <f t="shared" si="2"/>
        <v>0.01745903841</v>
      </c>
    </row>
    <row r="7" ht="14.25" customHeight="1">
      <c r="A7" s="14" t="s">
        <v>25</v>
      </c>
      <c r="B7" s="14" t="s">
        <v>23</v>
      </c>
      <c r="C7" s="15">
        <v>36.0</v>
      </c>
      <c r="D7" s="15">
        <v>55.0</v>
      </c>
      <c r="E7" s="15">
        <v>31.0</v>
      </c>
      <c r="F7" s="15">
        <v>17.0</v>
      </c>
      <c r="G7" s="15">
        <v>20.0</v>
      </c>
      <c r="H7" s="15">
        <v>16.0</v>
      </c>
      <c r="I7" s="15">
        <v>13.0</v>
      </c>
      <c r="J7" s="15">
        <v>33.0</v>
      </c>
      <c r="K7" s="15">
        <v>22.0</v>
      </c>
      <c r="L7" s="15">
        <v>27.0</v>
      </c>
      <c r="M7" s="15">
        <v>30.0</v>
      </c>
      <c r="N7" s="15">
        <v>36.0</v>
      </c>
      <c r="O7" s="15">
        <v>38.0</v>
      </c>
      <c r="P7" s="15">
        <v>15.0</v>
      </c>
      <c r="Q7" s="16">
        <f t="shared" si="1"/>
        <v>389</v>
      </c>
      <c r="R7" s="17">
        <f t="shared" si="2"/>
        <v>0.1044856299</v>
      </c>
    </row>
    <row r="8" ht="14.25" customHeight="1">
      <c r="A8" s="14" t="s">
        <v>25</v>
      </c>
      <c r="B8" s="14" t="s">
        <v>24</v>
      </c>
      <c r="C8" s="15">
        <v>14.0</v>
      </c>
      <c r="D8" s="15">
        <v>13.0</v>
      </c>
      <c r="E8" s="15">
        <v>6.0</v>
      </c>
      <c r="F8" s="15">
        <v>8.0</v>
      </c>
      <c r="G8" s="15">
        <v>12.0</v>
      </c>
      <c r="H8" s="15">
        <v>3.0</v>
      </c>
      <c r="I8" s="15">
        <v>4.0</v>
      </c>
      <c r="J8" s="15">
        <v>7.0</v>
      </c>
      <c r="K8" s="15">
        <v>12.0</v>
      </c>
      <c r="L8" s="15">
        <v>77.0</v>
      </c>
      <c r="M8" s="15">
        <v>4.0</v>
      </c>
      <c r="N8" s="15">
        <v>1.0</v>
      </c>
      <c r="O8" s="15">
        <v>3.0</v>
      </c>
      <c r="P8" s="15">
        <v>4.0</v>
      </c>
      <c r="Q8" s="16">
        <f t="shared" si="1"/>
        <v>168</v>
      </c>
      <c r="R8" s="17">
        <f t="shared" si="2"/>
        <v>0.04512489927</v>
      </c>
    </row>
    <row r="9" ht="14.25" customHeight="1">
      <c r="A9" s="14" t="s">
        <v>24</v>
      </c>
      <c r="B9" s="14" t="s">
        <v>25</v>
      </c>
      <c r="C9" s="15">
        <v>1.0</v>
      </c>
      <c r="D9" s="15">
        <v>5.0</v>
      </c>
      <c r="E9" s="15">
        <v>4.0</v>
      </c>
      <c r="F9" s="15">
        <v>3.0</v>
      </c>
      <c r="G9" s="15">
        <v>9.0</v>
      </c>
      <c r="H9" s="15">
        <v>6.0</v>
      </c>
      <c r="I9" s="15">
        <v>10.0</v>
      </c>
      <c r="J9" s="15">
        <v>5.0</v>
      </c>
      <c r="K9" s="15">
        <v>7.0</v>
      </c>
      <c r="L9" s="15">
        <v>7.0</v>
      </c>
      <c r="M9" s="15">
        <v>17.0</v>
      </c>
      <c r="N9" s="15">
        <v>11.0</v>
      </c>
      <c r="O9" s="15">
        <v>10.0</v>
      </c>
      <c r="P9" s="15">
        <v>5.0</v>
      </c>
      <c r="Q9" s="16">
        <f t="shared" si="1"/>
        <v>100</v>
      </c>
      <c r="R9" s="17">
        <f t="shared" si="2"/>
        <v>0.02686005909</v>
      </c>
    </row>
    <row r="10" ht="14.25" customHeight="1">
      <c r="A10" s="14" t="s">
        <v>24</v>
      </c>
      <c r="B10" s="14" t="s">
        <v>22</v>
      </c>
      <c r="C10" s="15">
        <v>8.0</v>
      </c>
      <c r="D10" s="15">
        <v>37.0</v>
      </c>
      <c r="E10" s="15">
        <v>32.0</v>
      </c>
      <c r="F10" s="15">
        <v>32.0</v>
      </c>
      <c r="G10" s="15">
        <v>67.0</v>
      </c>
      <c r="H10" s="15">
        <v>50.0</v>
      </c>
      <c r="I10" s="15">
        <v>72.0</v>
      </c>
      <c r="J10" s="15">
        <v>44.0</v>
      </c>
      <c r="K10" s="15">
        <v>41.0</v>
      </c>
      <c r="L10" s="15">
        <v>90.0</v>
      </c>
      <c r="M10" s="15">
        <v>103.0</v>
      </c>
      <c r="N10" s="15">
        <v>245.0</v>
      </c>
      <c r="O10" s="15">
        <v>123.0</v>
      </c>
      <c r="P10" s="15">
        <v>71.0</v>
      </c>
      <c r="Q10" s="16">
        <f t="shared" si="1"/>
        <v>1015</v>
      </c>
      <c r="R10" s="17">
        <f t="shared" si="2"/>
        <v>0.2726295998</v>
      </c>
    </row>
    <row r="11" ht="14.25" customHeight="1">
      <c r="A11" s="14" t="s">
        <v>24</v>
      </c>
      <c r="B11" s="14" t="s">
        <v>23</v>
      </c>
      <c r="C11" s="15">
        <v>4.0</v>
      </c>
      <c r="D11" s="15">
        <v>3.0</v>
      </c>
      <c r="E11" s="15">
        <v>8.0</v>
      </c>
      <c r="F11" s="15">
        <v>11.0</v>
      </c>
      <c r="G11" s="15">
        <v>10.0</v>
      </c>
      <c r="H11" s="15">
        <v>8.0</v>
      </c>
      <c r="I11" s="15">
        <v>15.0</v>
      </c>
      <c r="J11" s="15">
        <v>7.0</v>
      </c>
      <c r="K11" s="15">
        <v>8.0</v>
      </c>
      <c r="L11" s="15">
        <v>17.0</v>
      </c>
      <c r="M11" s="15">
        <v>14.0</v>
      </c>
      <c r="N11" s="15">
        <v>18.0</v>
      </c>
      <c r="O11" s="15">
        <v>12.0</v>
      </c>
      <c r="P11" s="15">
        <v>20.0</v>
      </c>
      <c r="Q11" s="16">
        <f t="shared" si="1"/>
        <v>155</v>
      </c>
      <c r="R11" s="17">
        <f t="shared" si="2"/>
        <v>0.04163309159</v>
      </c>
    </row>
    <row r="12" ht="14.25" customHeight="1">
      <c r="A12" s="14" t="s">
        <v>23</v>
      </c>
      <c r="B12" s="14" t="s">
        <v>24</v>
      </c>
      <c r="C12" s="15">
        <v>20.0</v>
      </c>
      <c r="D12" s="15">
        <v>11.0</v>
      </c>
      <c r="E12" s="15">
        <v>14.0</v>
      </c>
      <c r="F12" s="15">
        <v>14.0</v>
      </c>
      <c r="G12" s="15">
        <v>9.0</v>
      </c>
      <c r="H12" s="15">
        <v>4.0</v>
      </c>
      <c r="I12" s="15">
        <v>7.0</v>
      </c>
      <c r="J12" s="15">
        <v>17.0</v>
      </c>
      <c r="K12" s="15">
        <v>3.0</v>
      </c>
      <c r="L12" s="15">
        <v>21.0</v>
      </c>
      <c r="M12" s="15">
        <v>9.0</v>
      </c>
      <c r="N12" s="15">
        <v>7.0</v>
      </c>
      <c r="O12" s="15">
        <v>3.0</v>
      </c>
      <c r="P12" s="15">
        <v>5.0</v>
      </c>
      <c r="Q12" s="16">
        <f t="shared" si="1"/>
        <v>144</v>
      </c>
      <c r="R12" s="17">
        <f t="shared" si="2"/>
        <v>0.03867848509</v>
      </c>
    </row>
    <row r="13" ht="14.25" customHeight="1">
      <c r="A13" s="14" t="s">
        <v>23</v>
      </c>
      <c r="B13" s="14" t="s">
        <v>25</v>
      </c>
      <c r="C13" s="15">
        <v>29.0</v>
      </c>
      <c r="D13" s="15">
        <v>40.0</v>
      </c>
      <c r="E13" s="15">
        <v>23.0</v>
      </c>
      <c r="F13" s="15">
        <v>19.0</v>
      </c>
      <c r="G13" s="15">
        <v>12.0</v>
      </c>
      <c r="H13" s="15">
        <v>20.0</v>
      </c>
      <c r="I13" s="15">
        <v>26.0</v>
      </c>
      <c r="J13" s="15">
        <v>17.0</v>
      </c>
      <c r="K13" s="15">
        <v>23.0</v>
      </c>
      <c r="L13" s="15">
        <v>36.0</v>
      </c>
      <c r="M13" s="15">
        <v>40.0</v>
      </c>
      <c r="N13" s="15">
        <v>73.0</v>
      </c>
      <c r="O13" s="15">
        <v>46.0</v>
      </c>
      <c r="P13" s="15">
        <v>32.0</v>
      </c>
      <c r="Q13" s="16">
        <f t="shared" si="1"/>
        <v>436</v>
      </c>
      <c r="R13" s="17">
        <f t="shared" si="2"/>
        <v>0.1171098576</v>
      </c>
    </row>
    <row r="14" ht="14.25" customHeight="1">
      <c r="A14" s="14" t="s">
        <v>23</v>
      </c>
      <c r="B14" s="14" t="s">
        <v>22</v>
      </c>
      <c r="C14" s="15">
        <v>4.0</v>
      </c>
      <c r="D14" s="15">
        <v>6.0</v>
      </c>
      <c r="E14" s="15">
        <v>5.0</v>
      </c>
      <c r="F14" s="15">
        <v>11.0</v>
      </c>
      <c r="G14" s="15">
        <v>9.0</v>
      </c>
      <c r="H14" s="15">
        <v>13.0</v>
      </c>
      <c r="I14" s="15">
        <v>15.0</v>
      </c>
      <c r="J14" s="15">
        <v>17.0</v>
      </c>
      <c r="K14" s="15">
        <v>5.0</v>
      </c>
      <c r="L14" s="15">
        <v>25.0</v>
      </c>
      <c r="M14" s="15">
        <v>6.0</v>
      </c>
      <c r="N14" s="15">
        <v>36.0</v>
      </c>
      <c r="O14" s="15">
        <v>11.0</v>
      </c>
      <c r="P14" s="15">
        <v>6.0</v>
      </c>
      <c r="Q14" s="16">
        <f t="shared" si="1"/>
        <v>169</v>
      </c>
      <c r="R14" s="17">
        <f t="shared" si="2"/>
        <v>0.04539349987</v>
      </c>
    </row>
    <row r="15" ht="14.25" customHeight="1">
      <c r="A15" s="18"/>
      <c r="B15" s="18" t="s">
        <v>20</v>
      </c>
      <c r="C15" s="16">
        <f t="shared" ref="C15:Q15" si="3">SUM(C3:C14)</f>
        <v>342</v>
      </c>
      <c r="D15" s="16">
        <f t="shared" si="3"/>
        <v>317</v>
      </c>
      <c r="E15" s="16">
        <f t="shared" si="3"/>
        <v>235</v>
      </c>
      <c r="F15" s="16">
        <f t="shared" si="3"/>
        <v>186</v>
      </c>
      <c r="G15" s="16">
        <f t="shared" si="3"/>
        <v>207</v>
      </c>
      <c r="H15" s="16">
        <f t="shared" si="3"/>
        <v>173</v>
      </c>
      <c r="I15" s="16">
        <f t="shared" si="3"/>
        <v>218</v>
      </c>
      <c r="J15" s="16">
        <f t="shared" si="3"/>
        <v>223</v>
      </c>
      <c r="K15" s="16">
        <f t="shared" si="3"/>
        <v>198</v>
      </c>
      <c r="L15" s="16">
        <f t="shared" si="3"/>
        <v>362</v>
      </c>
      <c r="M15" s="16">
        <f t="shared" si="3"/>
        <v>274</v>
      </c>
      <c r="N15" s="16">
        <f t="shared" si="3"/>
        <v>490</v>
      </c>
      <c r="O15" s="16">
        <f t="shared" si="3"/>
        <v>295</v>
      </c>
      <c r="P15" s="16">
        <f t="shared" si="3"/>
        <v>203</v>
      </c>
      <c r="Q15" s="16">
        <f t="shared" si="3"/>
        <v>3723</v>
      </c>
      <c r="R15" s="17"/>
    </row>
    <row r="16" ht="13.5" customHeight="1">
      <c r="A16" s="19"/>
      <c r="B16" s="19" t="s">
        <v>26</v>
      </c>
      <c r="C16" s="20">
        <f t="shared" ref="C16:P16" si="4">C15/$Q$15</f>
        <v>0.0918614021</v>
      </c>
      <c r="D16" s="20">
        <f t="shared" si="4"/>
        <v>0.08514638732</v>
      </c>
      <c r="E16" s="20">
        <f t="shared" si="4"/>
        <v>0.06312113887</v>
      </c>
      <c r="F16" s="20">
        <f t="shared" si="4"/>
        <v>0.04995970991</v>
      </c>
      <c r="G16" s="20">
        <f t="shared" si="4"/>
        <v>0.05560032232</v>
      </c>
      <c r="H16" s="20">
        <f t="shared" si="4"/>
        <v>0.04646790223</v>
      </c>
      <c r="I16" s="20">
        <f t="shared" si="4"/>
        <v>0.05855492882</v>
      </c>
      <c r="J16" s="20">
        <f t="shared" si="4"/>
        <v>0.05989793178</v>
      </c>
      <c r="K16" s="20">
        <f t="shared" si="4"/>
        <v>0.053182917</v>
      </c>
      <c r="L16" s="20">
        <f t="shared" si="4"/>
        <v>0.09723341391</v>
      </c>
      <c r="M16" s="20">
        <f t="shared" si="4"/>
        <v>0.07359656191</v>
      </c>
      <c r="N16" s="20">
        <f t="shared" si="4"/>
        <v>0.1316142896</v>
      </c>
      <c r="O16" s="20">
        <f t="shared" si="4"/>
        <v>0.07923717432</v>
      </c>
      <c r="P16" s="20">
        <f t="shared" si="4"/>
        <v>0.05452591996</v>
      </c>
      <c r="Q16" s="20">
        <f>SUM(C16:P16)</f>
        <v>1</v>
      </c>
      <c r="R16" s="17"/>
    </row>
    <row r="17" ht="13.5" customHeight="1">
      <c r="A17" s="21"/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3"/>
    </row>
    <row r="18" ht="12.0" customHeight="1">
      <c r="A18" s="9" t="s">
        <v>27</v>
      </c>
    </row>
    <row r="19" ht="12.0" customHeight="1">
      <c r="A19" s="24"/>
      <c r="B19" s="10" t="s">
        <v>28</v>
      </c>
      <c r="C19" s="11">
        <v>6.0</v>
      </c>
      <c r="D19" s="11">
        <v>7.0</v>
      </c>
      <c r="E19" s="11">
        <v>8.0</v>
      </c>
      <c r="F19" s="11">
        <v>9.0</v>
      </c>
      <c r="G19" s="11">
        <v>10.0</v>
      </c>
      <c r="H19" s="11">
        <v>11.0</v>
      </c>
      <c r="I19" s="11">
        <v>12.0</v>
      </c>
      <c r="J19" s="11">
        <v>13.0</v>
      </c>
      <c r="K19" s="11">
        <v>14.0</v>
      </c>
      <c r="L19" s="11">
        <v>15.0</v>
      </c>
      <c r="M19" s="11">
        <v>16.0</v>
      </c>
      <c r="N19" s="11">
        <v>17.0</v>
      </c>
      <c r="O19" s="11">
        <v>18.0</v>
      </c>
      <c r="P19" s="11">
        <v>19.0</v>
      </c>
      <c r="Q19" s="12" t="s">
        <v>20</v>
      </c>
      <c r="R19" s="13" t="s">
        <v>21</v>
      </c>
    </row>
    <row r="20" ht="14.25" customHeight="1">
      <c r="A20" s="25"/>
      <c r="B20" s="26" t="s">
        <v>9</v>
      </c>
      <c r="C20" s="14">
        <v>6.0</v>
      </c>
      <c r="D20" s="14">
        <v>15.0</v>
      </c>
      <c r="E20" s="14">
        <v>14.0</v>
      </c>
      <c r="F20" s="14">
        <v>12.0</v>
      </c>
      <c r="G20" s="14">
        <v>17.0</v>
      </c>
      <c r="H20" s="14">
        <v>6.0</v>
      </c>
      <c r="I20" s="14">
        <v>17.0</v>
      </c>
      <c r="J20" s="14">
        <v>12.0</v>
      </c>
      <c r="K20" s="14">
        <v>8.0</v>
      </c>
      <c r="L20" s="14">
        <v>20.0</v>
      </c>
      <c r="M20" s="14">
        <v>25.0</v>
      </c>
      <c r="N20" s="14">
        <v>27.0</v>
      </c>
      <c r="O20" s="14">
        <v>20.0</v>
      </c>
      <c r="P20" s="14">
        <v>16.0</v>
      </c>
      <c r="Q20" s="12">
        <f t="shared" ref="Q20:Q27" si="5">SUM(C20:P20)</f>
        <v>215</v>
      </c>
      <c r="R20" s="13">
        <f t="shared" ref="R20:R27" si="6">Q20/$Q$15</f>
        <v>0.05774912705</v>
      </c>
    </row>
    <row r="21" ht="14.25" customHeight="1">
      <c r="A21" s="25"/>
      <c r="B21" s="26" t="s">
        <v>10</v>
      </c>
      <c r="C21" s="14">
        <v>0.0</v>
      </c>
      <c r="D21" s="14">
        <v>0.0</v>
      </c>
      <c r="E21" s="14">
        <v>0.0</v>
      </c>
      <c r="F21" s="14">
        <v>0.0</v>
      </c>
      <c r="G21" s="14">
        <v>12.0</v>
      </c>
      <c r="H21" s="14">
        <v>0.0</v>
      </c>
      <c r="I21" s="14">
        <v>0.0</v>
      </c>
      <c r="J21" s="14">
        <v>0.0</v>
      </c>
      <c r="K21" s="14">
        <v>0.0</v>
      </c>
      <c r="L21" s="14">
        <v>0.0</v>
      </c>
      <c r="M21" s="14">
        <v>0.0</v>
      </c>
      <c r="N21" s="14">
        <v>0.0</v>
      </c>
      <c r="O21" s="14">
        <v>0.0</v>
      </c>
      <c r="P21" s="14">
        <v>0.0</v>
      </c>
      <c r="Q21" s="12">
        <f t="shared" si="5"/>
        <v>12</v>
      </c>
      <c r="R21" s="13">
        <f t="shared" si="6"/>
        <v>0.003223207091</v>
      </c>
    </row>
    <row r="22" ht="14.25" customHeight="1">
      <c r="A22" s="25"/>
      <c r="B22" s="26" t="s">
        <v>11</v>
      </c>
      <c r="C22" s="14">
        <v>1.0</v>
      </c>
      <c r="D22" s="14">
        <v>3.0</v>
      </c>
      <c r="E22" s="14">
        <v>4.0</v>
      </c>
      <c r="F22" s="14">
        <v>1.0</v>
      </c>
      <c r="G22" s="14">
        <v>1.0</v>
      </c>
      <c r="H22" s="14">
        <v>1.0</v>
      </c>
      <c r="I22" s="14">
        <v>6.0</v>
      </c>
      <c r="J22" s="14">
        <v>2.0</v>
      </c>
      <c r="K22" s="14">
        <v>1.0</v>
      </c>
      <c r="L22" s="14">
        <v>3.0</v>
      </c>
      <c r="M22" s="14">
        <v>2.0</v>
      </c>
      <c r="N22" s="14">
        <v>15.0</v>
      </c>
      <c r="O22" s="14">
        <v>9.0</v>
      </c>
      <c r="P22" s="14">
        <v>14.0</v>
      </c>
      <c r="Q22" s="12">
        <f t="shared" si="5"/>
        <v>63</v>
      </c>
      <c r="R22" s="13">
        <f t="shared" si="6"/>
        <v>0.01692183723</v>
      </c>
    </row>
    <row r="23" ht="14.25" customHeight="1">
      <c r="A23" s="25"/>
      <c r="B23" s="26" t="s">
        <v>29</v>
      </c>
      <c r="C23" s="14">
        <v>6.0</v>
      </c>
      <c r="D23" s="14">
        <v>8.0</v>
      </c>
      <c r="E23" s="14">
        <v>9.0</v>
      </c>
      <c r="F23" s="14">
        <v>11.0</v>
      </c>
      <c r="G23" s="14">
        <v>16.0</v>
      </c>
      <c r="H23" s="14">
        <v>7.0</v>
      </c>
      <c r="I23" s="14">
        <v>7.0</v>
      </c>
      <c r="J23" s="14">
        <v>9.0</v>
      </c>
      <c r="K23" s="14">
        <v>7.0</v>
      </c>
      <c r="L23" s="14">
        <v>10.0</v>
      </c>
      <c r="M23" s="14">
        <v>19.0</v>
      </c>
      <c r="N23" s="14">
        <v>25.0</v>
      </c>
      <c r="O23" s="14">
        <v>18.0</v>
      </c>
      <c r="P23" s="14">
        <v>14.0</v>
      </c>
      <c r="Q23" s="12">
        <f t="shared" si="5"/>
        <v>166</v>
      </c>
      <c r="R23" s="13">
        <f t="shared" si="6"/>
        <v>0.04458769809</v>
      </c>
    </row>
    <row r="24" ht="14.25" customHeight="1">
      <c r="A24" s="25"/>
      <c r="B24" s="26" t="s">
        <v>30</v>
      </c>
      <c r="C24" s="14">
        <v>14.0</v>
      </c>
      <c r="D24" s="14">
        <v>20.0</v>
      </c>
      <c r="E24" s="14">
        <v>44.0</v>
      </c>
      <c r="F24" s="14">
        <v>23.0</v>
      </c>
      <c r="G24" s="14">
        <v>28.0</v>
      </c>
      <c r="H24" s="14">
        <v>22.0</v>
      </c>
      <c r="I24" s="14">
        <v>24.0</v>
      </c>
      <c r="J24" s="14">
        <v>26.0</v>
      </c>
      <c r="K24" s="14">
        <v>17.0</v>
      </c>
      <c r="L24" s="14">
        <v>39.0</v>
      </c>
      <c r="M24" s="14">
        <v>29.0</v>
      </c>
      <c r="N24" s="14">
        <v>45.0</v>
      </c>
      <c r="O24" s="14">
        <v>22.0</v>
      </c>
      <c r="P24" s="14">
        <v>15.0</v>
      </c>
      <c r="Q24" s="12">
        <f t="shared" si="5"/>
        <v>368</v>
      </c>
      <c r="R24" s="13">
        <f t="shared" si="6"/>
        <v>0.09884501746</v>
      </c>
    </row>
    <row r="25" ht="14.25" customHeight="1">
      <c r="A25" s="25"/>
      <c r="B25" s="26" t="s">
        <v>14</v>
      </c>
      <c r="C25" s="14">
        <v>4.0</v>
      </c>
      <c r="D25" s="14">
        <v>0.0</v>
      </c>
      <c r="E25" s="14">
        <v>9.0</v>
      </c>
      <c r="F25" s="14">
        <v>11.0</v>
      </c>
      <c r="G25" s="14">
        <v>10.0</v>
      </c>
      <c r="H25" s="14">
        <v>6.0</v>
      </c>
      <c r="I25" s="14">
        <v>1.0</v>
      </c>
      <c r="J25" s="14">
        <v>3.0</v>
      </c>
      <c r="K25" s="14">
        <v>8.0</v>
      </c>
      <c r="L25" s="14">
        <v>28.0</v>
      </c>
      <c r="M25" s="14">
        <v>17.0</v>
      </c>
      <c r="N25" s="14">
        <v>17.0</v>
      </c>
      <c r="O25" s="14">
        <v>0.0</v>
      </c>
      <c r="P25" s="14">
        <v>0.0</v>
      </c>
      <c r="Q25" s="12">
        <f t="shared" si="5"/>
        <v>114</v>
      </c>
      <c r="R25" s="13">
        <f t="shared" si="6"/>
        <v>0.03062046737</v>
      </c>
    </row>
    <row r="26" ht="14.25" customHeight="1">
      <c r="A26" s="25"/>
      <c r="B26" s="26" t="s">
        <v>31</v>
      </c>
      <c r="C26" s="14">
        <v>15.0</v>
      </c>
      <c r="D26" s="14">
        <v>15.0</v>
      </c>
      <c r="E26" s="14">
        <v>27.0</v>
      </c>
      <c r="F26" s="14">
        <v>15.0</v>
      </c>
      <c r="G26" s="14">
        <v>15.0</v>
      </c>
      <c r="H26" s="14">
        <v>20.0</v>
      </c>
      <c r="I26" s="14">
        <v>35.0</v>
      </c>
      <c r="J26" s="14">
        <v>25.0</v>
      </c>
      <c r="K26" s="14">
        <v>14.0</v>
      </c>
      <c r="L26" s="14">
        <v>32.0</v>
      </c>
      <c r="M26" s="14">
        <v>10.0</v>
      </c>
      <c r="N26" s="14">
        <v>26.0</v>
      </c>
      <c r="O26" s="14">
        <v>25.0</v>
      </c>
      <c r="P26" s="14">
        <v>18.0</v>
      </c>
      <c r="Q26" s="12">
        <f t="shared" si="5"/>
        <v>292</v>
      </c>
      <c r="R26" s="13">
        <f t="shared" si="6"/>
        <v>0.07843137255</v>
      </c>
    </row>
    <row r="27" ht="14.25" customHeight="1">
      <c r="A27" s="25"/>
      <c r="B27" s="26" t="s">
        <v>16</v>
      </c>
      <c r="C27" s="14">
        <v>0.0</v>
      </c>
      <c r="D27" s="14">
        <v>0.0</v>
      </c>
      <c r="E27" s="14">
        <v>0.0</v>
      </c>
      <c r="F27" s="14">
        <v>0.0</v>
      </c>
      <c r="G27" s="14">
        <v>0.0</v>
      </c>
      <c r="H27" s="14">
        <v>0.0</v>
      </c>
      <c r="I27" s="14">
        <v>0.0</v>
      </c>
      <c r="J27" s="14">
        <v>0.0</v>
      </c>
      <c r="K27" s="14">
        <v>0.0</v>
      </c>
      <c r="L27" s="14">
        <v>0.0</v>
      </c>
      <c r="M27" s="14">
        <v>0.0</v>
      </c>
      <c r="N27" s="14">
        <v>0.0</v>
      </c>
      <c r="O27" s="14">
        <v>0.0</v>
      </c>
      <c r="P27" s="14">
        <v>0.0</v>
      </c>
      <c r="Q27" s="12">
        <f t="shared" si="5"/>
        <v>0</v>
      </c>
      <c r="R27" s="13">
        <f t="shared" si="6"/>
        <v>0</v>
      </c>
    </row>
    <row r="28" ht="14.25" customHeight="1">
      <c r="A28" s="27"/>
      <c r="B28" s="27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9"/>
    </row>
    <row r="29" ht="14.25" customHeight="1">
      <c r="A29" s="9" t="s">
        <v>32</v>
      </c>
    </row>
    <row r="30" ht="14.25" customHeight="1">
      <c r="A30" s="24"/>
      <c r="B30" s="10" t="s">
        <v>28</v>
      </c>
      <c r="C30" s="11">
        <v>6.0</v>
      </c>
      <c r="D30" s="11">
        <v>7.0</v>
      </c>
      <c r="E30" s="11">
        <v>8.0</v>
      </c>
      <c r="F30" s="11">
        <v>9.0</v>
      </c>
      <c r="G30" s="11">
        <v>10.0</v>
      </c>
      <c r="H30" s="11">
        <v>11.0</v>
      </c>
      <c r="I30" s="11">
        <v>12.0</v>
      </c>
      <c r="J30" s="11">
        <v>13.0</v>
      </c>
      <c r="K30" s="11">
        <v>14.0</v>
      </c>
      <c r="L30" s="11">
        <v>15.0</v>
      </c>
      <c r="M30" s="11">
        <v>16.0</v>
      </c>
      <c r="N30" s="11">
        <v>17.0</v>
      </c>
      <c r="O30" s="11">
        <v>18.0</v>
      </c>
      <c r="P30" s="11">
        <v>19.0</v>
      </c>
      <c r="Q30" s="12" t="s">
        <v>20</v>
      </c>
      <c r="R30" s="13" t="s">
        <v>21</v>
      </c>
    </row>
    <row r="31" ht="14.25" customHeight="1">
      <c r="A31" s="25"/>
      <c r="B31" s="14" t="s">
        <v>33</v>
      </c>
      <c r="C31" s="30">
        <v>20.0</v>
      </c>
      <c r="D31" s="30">
        <v>20.0</v>
      </c>
      <c r="E31" s="30">
        <v>0.0</v>
      </c>
      <c r="F31" s="30">
        <v>0.0</v>
      </c>
      <c r="G31" s="30">
        <v>0.0</v>
      </c>
      <c r="H31" s="30">
        <v>0.0</v>
      </c>
      <c r="I31" s="30">
        <v>0.0</v>
      </c>
      <c r="J31" s="30">
        <v>0.0</v>
      </c>
      <c r="K31" s="30">
        <v>0.0</v>
      </c>
      <c r="L31" s="30">
        <v>0.0</v>
      </c>
      <c r="M31" s="30">
        <v>0.0</v>
      </c>
      <c r="N31" s="30">
        <v>20.0</v>
      </c>
      <c r="O31" s="30">
        <v>0.0</v>
      </c>
      <c r="P31" s="30">
        <v>0.0</v>
      </c>
      <c r="Q31" s="12"/>
      <c r="R31" s="13"/>
    </row>
    <row r="32" ht="14.25" customHeight="1">
      <c r="A32" s="25"/>
      <c r="B32" s="31" t="s">
        <v>34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2"/>
      <c r="R32" s="13"/>
    </row>
    <row r="33" ht="14.25" customHeight="1">
      <c r="A33" s="25"/>
      <c r="B33" s="32" t="s">
        <v>35</v>
      </c>
      <c r="C33" s="15">
        <v>0.0</v>
      </c>
      <c r="D33" s="15">
        <v>1.0</v>
      </c>
      <c r="E33" s="15">
        <v>0.0</v>
      </c>
      <c r="F33" s="15">
        <v>0.0</v>
      </c>
      <c r="G33" s="15">
        <v>0.0</v>
      </c>
      <c r="H33" s="15">
        <v>1.0</v>
      </c>
      <c r="I33" s="15">
        <v>0.0</v>
      </c>
      <c r="J33" s="15">
        <v>1.0</v>
      </c>
      <c r="K33" s="15">
        <v>0.0</v>
      </c>
      <c r="L33" s="15">
        <v>0.0</v>
      </c>
      <c r="M33" s="15">
        <v>0.0</v>
      </c>
      <c r="N33" s="15">
        <v>1.0</v>
      </c>
      <c r="O33" s="15">
        <v>1.0</v>
      </c>
      <c r="P33" s="15">
        <v>0.0</v>
      </c>
      <c r="Q33" s="12">
        <f t="shared" ref="Q33:Q36" si="7">SUM(C33:P33)</f>
        <v>5</v>
      </c>
      <c r="R33" s="13">
        <f t="shared" ref="R33:R36" si="8">Q33/$Q$15</f>
        <v>0.001343002955</v>
      </c>
    </row>
    <row r="34" ht="14.25" customHeight="1">
      <c r="A34" s="25"/>
      <c r="B34" s="32" t="s">
        <v>36</v>
      </c>
      <c r="C34" s="15">
        <v>0.0</v>
      </c>
      <c r="D34" s="15">
        <v>0.0</v>
      </c>
      <c r="E34" s="15">
        <v>0.0</v>
      </c>
      <c r="F34" s="15">
        <v>0.0</v>
      </c>
      <c r="G34" s="15">
        <v>0.0</v>
      </c>
      <c r="H34" s="15">
        <v>0.0</v>
      </c>
      <c r="I34" s="15">
        <v>0.0</v>
      </c>
      <c r="J34" s="15">
        <v>0.0</v>
      </c>
      <c r="K34" s="15">
        <v>0.0</v>
      </c>
      <c r="L34" s="15">
        <v>0.0</v>
      </c>
      <c r="M34" s="15">
        <v>0.0</v>
      </c>
      <c r="N34" s="15">
        <v>0.0</v>
      </c>
      <c r="O34" s="15">
        <v>0.0</v>
      </c>
      <c r="P34" s="15">
        <v>0.0</v>
      </c>
      <c r="Q34" s="12">
        <f t="shared" si="7"/>
        <v>0</v>
      </c>
      <c r="R34" s="13">
        <f t="shared" si="8"/>
        <v>0</v>
      </c>
    </row>
    <row r="35" ht="14.25" customHeight="1">
      <c r="A35" s="25"/>
      <c r="B35" s="32" t="s">
        <v>37</v>
      </c>
      <c r="C35" s="15">
        <v>0.0</v>
      </c>
      <c r="D35" s="15">
        <v>0.0</v>
      </c>
      <c r="E35" s="15">
        <v>0.0</v>
      </c>
      <c r="F35" s="15">
        <v>0.0</v>
      </c>
      <c r="G35" s="15">
        <v>0.0</v>
      </c>
      <c r="H35" s="15">
        <v>0.0</v>
      </c>
      <c r="I35" s="15">
        <v>0.0</v>
      </c>
      <c r="J35" s="15">
        <v>0.0</v>
      </c>
      <c r="K35" s="15">
        <v>0.0</v>
      </c>
      <c r="L35" s="15">
        <v>0.0</v>
      </c>
      <c r="M35" s="15">
        <v>0.0</v>
      </c>
      <c r="N35" s="15">
        <v>0.0</v>
      </c>
      <c r="O35" s="15">
        <v>0.0</v>
      </c>
      <c r="P35" s="15">
        <v>0.0</v>
      </c>
      <c r="Q35" s="12">
        <f t="shared" si="7"/>
        <v>0</v>
      </c>
      <c r="R35" s="13">
        <f t="shared" si="8"/>
        <v>0</v>
      </c>
    </row>
    <row r="36" ht="14.25" customHeight="1">
      <c r="A36" s="25"/>
      <c r="B36" s="32" t="s">
        <v>38</v>
      </c>
      <c r="C36" s="15">
        <v>0.0</v>
      </c>
      <c r="D36" s="15">
        <v>0.0</v>
      </c>
      <c r="E36" s="15">
        <v>0.0</v>
      </c>
      <c r="F36" s="15">
        <v>0.0</v>
      </c>
      <c r="G36" s="15">
        <v>0.0</v>
      </c>
      <c r="H36" s="15">
        <v>0.0</v>
      </c>
      <c r="I36" s="15">
        <v>0.0</v>
      </c>
      <c r="J36" s="15">
        <v>0.0</v>
      </c>
      <c r="K36" s="15">
        <v>0.0</v>
      </c>
      <c r="L36" s="15">
        <v>0.0</v>
      </c>
      <c r="M36" s="15">
        <v>0.0</v>
      </c>
      <c r="N36" s="15">
        <v>0.0</v>
      </c>
      <c r="O36" s="15">
        <v>0.0</v>
      </c>
      <c r="P36" s="15">
        <v>0.0</v>
      </c>
      <c r="Q36" s="12">
        <f t="shared" si="7"/>
        <v>0</v>
      </c>
      <c r="R36" s="13">
        <f t="shared" si="8"/>
        <v>0</v>
      </c>
    </row>
  </sheetData>
  <mergeCells count="3">
    <mergeCell ref="A1:R1"/>
    <mergeCell ref="A18:R18"/>
    <mergeCell ref="A29:R29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3" t="str">
        <f>Fluxo!A2</f>
        <v>TOTAL</v>
      </c>
      <c r="F1" s="33">
        <v>2.0</v>
      </c>
      <c r="G1" t="str">
        <f t="array" ref="G1:G18">TRANSPOSE(Dados!2:2)</f>
        <v>ORIGEM</v>
      </c>
    </row>
    <row r="2">
      <c r="F2" s="33">
        <v>3.0</v>
      </c>
      <c r="G2" t="s">
        <v>19</v>
      </c>
    </row>
    <row r="3">
      <c r="A3" t="str">
        <f>Dados!A3</f>
        <v>Água Fria</v>
      </c>
      <c r="B3" t="str">
        <f>Dados!B3</f>
        <v>Casa Amarela</v>
      </c>
      <c r="F3" s="33">
        <v>4.0</v>
      </c>
      <c r="G3">
        <v>6.0</v>
      </c>
      <c r="Q3">
        <f>HLOOKUP($A$1,Dados!$C$2:$R$14,F1,0)</f>
        <v>87</v>
      </c>
    </row>
    <row r="4">
      <c r="A4" t="str">
        <f>Dados!A4</f>
        <v>Água Fria</v>
      </c>
      <c r="B4" t="str">
        <f>Dados!B4</f>
        <v>Encruzilhada</v>
      </c>
      <c r="F4" s="33">
        <v>5.0</v>
      </c>
      <c r="G4">
        <v>7.0</v>
      </c>
      <c r="Q4">
        <f>HLOOKUP($A$1,Dados!$C$2:$R$14,F2,0)</f>
        <v>931</v>
      </c>
    </row>
    <row r="5">
      <c r="A5" t="str">
        <f>Dados!A5</f>
        <v>Água Fria</v>
      </c>
      <c r="B5" t="str">
        <f>Dados!B5</f>
        <v>Campo Grande</v>
      </c>
      <c r="F5" s="33">
        <v>6.0</v>
      </c>
      <c r="G5">
        <v>8.0</v>
      </c>
      <c r="Q5">
        <f>HLOOKUP($A$1,Dados!$C$2:$R$14,F3,0)</f>
        <v>64</v>
      </c>
    </row>
    <row r="6">
      <c r="A6" t="str">
        <f>Dados!A6</f>
        <v>Campo Grande</v>
      </c>
      <c r="B6" t="str">
        <f>Dados!B6</f>
        <v>Água Fria</v>
      </c>
      <c r="F6" s="33">
        <v>7.0</v>
      </c>
      <c r="G6">
        <v>9.0</v>
      </c>
      <c r="Q6">
        <f>HLOOKUP($A$1,Dados!$C$2:$R$14,F4,0)</f>
        <v>65</v>
      </c>
    </row>
    <row r="7">
      <c r="A7" t="str">
        <f>Dados!A7</f>
        <v>Campo Grande</v>
      </c>
      <c r="B7" t="str">
        <f>Dados!B7</f>
        <v>Casa Amarela</v>
      </c>
      <c r="F7" s="33">
        <v>8.0</v>
      </c>
      <c r="G7">
        <v>10.0</v>
      </c>
      <c r="Q7">
        <f>HLOOKUP($A$1,Dados!$C$2:$R$14,F5,0)</f>
        <v>389</v>
      </c>
    </row>
    <row r="8">
      <c r="A8" t="str">
        <f>Dados!A8</f>
        <v>Campo Grande</v>
      </c>
      <c r="B8" t="str">
        <f>Dados!B8</f>
        <v>Encruzilhada</v>
      </c>
      <c r="F8" s="33">
        <v>9.0</v>
      </c>
      <c r="G8">
        <v>11.0</v>
      </c>
      <c r="Q8">
        <f>HLOOKUP($A$1,Dados!$C$2:$R$14,F6,0)</f>
        <v>168</v>
      </c>
    </row>
    <row r="9">
      <c r="A9" t="str">
        <f>Dados!A9</f>
        <v>Encruzilhada</v>
      </c>
      <c r="B9" t="str">
        <f>Dados!B9</f>
        <v>Campo Grande</v>
      </c>
      <c r="F9" s="33">
        <v>10.0</v>
      </c>
      <c r="G9">
        <v>12.0</v>
      </c>
      <c r="Q9">
        <f>HLOOKUP($A$1,Dados!$C$2:$R$14,F7,0)</f>
        <v>100</v>
      </c>
    </row>
    <row r="10">
      <c r="A10" t="str">
        <f>Dados!A10</f>
        <v>Encruzilhada</v>
      </c>
      <c r="B10" t="str">
        <f>Dados!B10</f>
        <v>Água Fria</v>
      </c>
      <c r="F10" s="33">
        <v>11.0</v>
      </c>
      <c r="G10">
        <v>13.0</v>
      </c>
      <c r="Q10">
        <f>HLOOKUP($A$1,Dados!$C$2:$R$14,F8,0)</f>
        <v>1015</v>
      </c>
    </row>
    <row r="11">
      <c r="A11" t="str">
        <f>Dados!A11</f>
        <v>Encruzilhada</v>
      </c>
      <c r="B11" t="str">
        <f>Dados!B11</f>
        <v>Casa Amarela</v>
      </c>
      <c r="F11" s="33">
        <v>12.0</v>
      </c>
      <c r="G11">
        <v>14.0</v>
      </c>
      <c r="Q11">
        <f>HLOOKUP($A$1,Dados!$C$2:$R$14,F9,0)</f>
        <v>155</v>
      </c>
    </row>
    <row r="12">
      <c r="A12" t="str">
        <f>Dados!A12</f>
        <v>Casa Amarela</v>
      </c>
      <c r="B12" t="str">
        <f>Dados!B12</f>
        <v>Encruzilhada</v>
      </c>
      <c r="F12" s="33">
        <v>13.0</v>
      </c>
      <c r="G12">
        <v>15.0</v>
      </c>
      <c r="Q12">
        <f>HLOOKUP($A$1,Dados!$C$2:$R$14,F10,0)</f>
        <v>144</v>
      </c>
    </row>
    <row r="13">
      <c r="A13" t="str">
        <f>Dados!A13</f>
        <v>Casa Amarela</v>
      </c>
      <c r="B13" t="str">
        <f>Dados!B13</f>
        <v>Campo Grande</v>
      </c>
      <c r="G13">
        <v>16.0</v>
      </c>
      <c r="Q13">
        <f>HLOOKUP($A$1,Dados!$C$2:$R$14,F11,0)</f>
        <v>436</v>
      </c>
    </row>
    <row r="14">
      <c r="A14" t="str">
        <f>Dados!A14</f>
        <v>Casa Amarela</v>
      </c>
      <c r="B14" t="str">
        <f>Dados!B14</f>
        <v>Água Fria</v>
      </c>
      <c r="G14">
        <v>17.0</v>
      </c>
      <c r="Q14">
        <f>HLOOKUP($A$1,Dados!$C$2:$R$14,F12,0)</f>
        <v>169</v>
      </c>
    </row>
    <row r="15">
      <c r="G15">
        <v>18.0</v>
      </c>
    </row>
    <row r="16">
      <c r="G16">
        <v>19.0</v>
      </c>
    </row>
    <row r="17">
      <c r="G17" t="s">
        <v>20</v>
      </c>
    </row>
    <row r="18">
      <c r="G18" s="34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5" t="s">
        <v>39</v>
      </c>
    </row>
    <row r="2">
      <c r="A2" s="36" t="s">
        <v>40</v>
      </c>
      <c r="B2" s="37">
        <f>Dados!C2</f>
        <v>6</v>
      </c>
      <c r="C2" s="37">
        <f>Dados!D2</f>
        <v>7</v>
      </c>
      <c r="D2" s="37">
        <f>Dados!E2</f>
        <v>8</v>
      </c>
      <c r="E2" s="37">
        <f>Dados!F2</f>
        <v>9</v>
      </c>
      <c r="F2" s="37">
        <f>Dados!G2</f>
        <v>10</v>
      </c>
      <c r="G2" s="37">
        <f>Dados!H2</f>
        <v>11</v>
      </c>
      <c r="H2" s="37">
        <f>Dados!I2</f>
        <v>12</v>
      </c>
      <c r="I2" s="37">
        <f>Dados!J2</f>
        <v>13</v>
      </c>
      <c r="J2" s="37">
        <f>Dados!K2</f>
        <v>14</v>
      </c>
      <c r="K2" s="37">
        <f>Dados!L2</f>
        <v>15</v>
      </c>
      <c r="L2" s="37">
        <f>Dados!M2</f>
        <v>16</v>
      </c>
      <c r="M2" s="37">
        <f>Dados!N2</f>
        <v>17</v>
      </c>
      <c r="N2" s="37">
        <f>Dados!O2</f>
        <v>18</v>
      </c>
      <c r="O2" s="37">
        <f>Dados!P2</f>
        <v>19</v>
      </c>
    </row>
    <row r="3">
      <c r="A3" s="38" t="s">
        <v>41</v>
      </c>
      <c r="B3" s="39">
        <f>Dados!C15-B4-B5</f>
        <v>336</v>
      </c>
      <c r="C3" s="39">
        <f>Dados!D15-C4-C5</f>
        <v>302</v>
      </c>
      <c r="D3" s="39">
        <f>Dados!E15-D4-D5</f>
        <v>221</v>
      </c>
      <c r="E3" s="39">
        <f>Dados!F15-E4-E5</f>
        <v>174</v>
      </c>
      <c r="F3" s="39">
        <f>Dados!G15-F4-F5</f>
        <v>178</v>
      </c>
      <c r="G3" s="39">
        <f>Dados!H15-G4-G5</f>
        <v>167</v>
      </c>
      <c r="H3" s="39">
        <f>Dados!I15-H4-H5</f>
        <v>201</v>
      </c>
      <c r="I3" s="39">
        <f>Dados!J15-I4-I5</f>
        <v>211</v>
      </c>
      <c r="J3" s="39">
        <f>Dados!K15-J4-J5</f>
        <v>190</v>
      </c>
      <c r="K3" s="39">
        <f>Dados!L15-K4-K5</f>
        <v>342</v>
      </c>
      <c r="L3" s="39">
        <f>Dados!M15-L4-L5</f>
        <v>249</v>
      </c>
      <c r="M3" s="39">
        <f>Dados!N15-M4-M5</f>
        <v>463</v>
      </c>
      <c r="N3" s="39">
        <f>Dados!O15-N4-N5</f>
        <v>275</v>
      </c>
      <c r="O3" s="39">
        <f>Dados!P15-O4-O5</f>
        <v>187</v>
      </c>
    </row>
    <row r="4">
      <c r="A4" s="36" t="s">
        <v>42</v>
      </c>
      <c r="B4" s="37">
        <f>Dados!C20</f>
        <v>6</v>
      </c>
      <c r="C4" s="37">
        <f>Dados!D20</f>
        <v>15</v>
      </c>
      <c r="D4" s="37">
        <f>Dados!E20</f>
        <v>14</v>
      </c>
      <c r="E4" s="37">
        <f>Dados!F20</f>
        <v>12</v>
      </c>
      <c r="F4" s="37">
        <f>Dados!G20</f>
        <v>17</v>
      </c>
      <c r="G4" s="37">
        <f>Dados!H20</f>
        <v>6</v>
      </c>
      <c r="H4" s="37">
        <f>Dados!I20</f>
        <v>17</v>
      </c>
      <c r="I4" s="37">
        <f>Dados!J20</f>
        <v>12</v>
      </c>
      <c r="J4" s="37">
        <f>Dados!K20</f>
        <v>8</v>
      </c>
      <c r="K4" s="37">
        <f>Dados!L20</f>
        <v>20</v>
      </c>
      <c r="L4" s="37">
        <f>Dados!M20</f>
        <v>25</v>
      </c>
      <c r="M4" s="37">
        <f>Dados!N20</f>
        <v>27</v>
      </c>
      <c r="N4" s="37">
        <f>Dados!O20</f>
        <v>20</v>
      </c>
      <c r="O4" s="37">
        <f>Dados!P20</f>
        <v>16</v>
      </c>
    </row>
    <row r="5">
      <c r="A5" s="38" t="s">
        <v>10</v>
      </c>
      <c r="B5" s="39">
        <f>Dados!C21</f>
        <v>0</v>
      </c>
      <c r="C5" s="39">
        <f>Dados!D21</f>
        <v>0</v>
      </c>
      <c r="D5" s="39">
        <f>Dados!E21</f>
        <v>0</v>
      </c>
      <c r="E5" s="39">
        <f>Dados!F21</f>
        <v>0</v>
      </c>
      <c r="F5" s="39">
        <f>Dados!G21</f>
        <v>12</v>
      </c>
      <c r="G5" s="39">
        <f>Dados!H21</f>
        <v>0</v>
      </c>
      <c r="H5" s="39">
        <f>Dados!I21</f>
        <v>0</v>
      </c>
      <c r="I5" s="39">
        <f>Dados!J21</f>
        <v>0</v>
      </c>
      <c r="J5" s="39">
        <f>Dados!K21</f>
        <v>0</v>
      </c>
      <c r="K5" s="39">
        <f>Dados!L21</f>
        <v>0</v>
      </c>
      <c r="L5" s="39">
        <f>Dados!M21</f>
        <v>0</v>
      </c>
      <c r="M5" s="39">
        <f>Dados!N21</f>
        <v>0</v>
      </c>
      <c r="N5" s="39">
        <f>Dados!O21</f>
        <v>0</v>
      </c>
      <c r="O5" s="39">
        <f>Dados!P21</f>
        <v>0</v>
      </c>
    </row>
    <row r="7">
      <c r="A7" s="40" t="s">
        <v>43</v>
      </c>
    </row>
    <row r="8">
      <c r="A8" s="41" t="s">
        <v>44</v>
      </c>
      <c r="B8" s="37">
        <v>6.0</v>
      </c>
      <c r="C8" s="37">
        <v>7.0</v>
      </c>
      <c r="D8" s="37">
        <v>8.0</v>
      </c>
      <c r="E8" s="37">
        <v>9.0</v>
      </c>
      <c r="F8" s="37">
        <v>10.0</v>
      </c>
      <c r="G8" s="37">
        <v>11.0</v>
      </c>
      <c r="H8" s="37">
        <v>12.0</v>
      </c>
      <c r="I8" s="37">
        <v>13.0</v>
      </c>
      <c r="J8" s="37">
        <v>14.0</v>
      </c>
      <c r="K8" s="37">
        <v>15.0</v>
      </c>
      <c r="L8" s="37">
        <v>16.0</v>
      </c>
      <c r="M8" s="37">
        <v>17.0</v>
      </c>
      <c r="N8" s="37">
        <v>18.0</v>
      </c>
      <c r="O8" s="37">
        <v>19.0</v>
      </c>
    </row>
    <row r="9">
      <c r="A9" s="42" t="s">
        <v>42</v>
      </c>
      <c r="B9" s="43">
        <f>B4/Dados!C$15</f>
        <v>0.01754385965</v>
      </c>
      <c r="C9" s="43">
        <f>C4/Dados!D$15</f>
        <v>0.04731861199</v>
      </c>
      <c r="D9" s="43">
        <f>D4/Dados!E$15</f>
        <v>0.05957446809</v>
      </c>
      <c r="E9" s="43">
        <f>E4/Dados!F$15</f>
        <v>0.06451612903</v>
      </c>
      <c r="F9" s="43">
        <f>F4/Dados!G$15</f>
        <v>0.08212560386</v>
      </c>
      <c r="G9" s="43">
        <f>G4/Dados!H$15</f>
        <v>0.03468208092</v>
      </c>
      <c r="H9" s="43">
        <f>H4/Dados!I$15</f>
        <v>0.07798165138</v>
      </c>
      <c r="I9" s="43">
        <f>I4/Dados!J$15</f>
        <v>0.05381165919</v>
      </c>
      <c r="J9" s="43">
        <f>J4/Dados!K$15</f>
        <v>0.0404040404</v>
      </c>
      <c r="K9" s="43">
        <f>K4/Dados!L$15</f>
        <v>0.05524861878</v>
      </c>
      <c r="L9" s="43">
        <f>L4/Dados!M$15</f>
        <v>0.09124087591</v>
      </c>
      <c r="M9" s="43">
        <f>M4/Dados!N$15</f>
        <v>0.05510204082</v>
      </c>
      <c r="N9" s="43">
        <f>N4/Dados!O$15</f>
        <v>0.06779661017</v>
      </c>
      <c r="O9" s="43">
        <f>O4/Dados!P$15</f>
        <v>0.07881773399</v>
      </c>
    </row>
    <row r="10">
      <c r="A10" s="41" t="s">
        <v>10</v>
      </c>
      <c r="B10" s="44">
        <f>B5/Dados!C$15</f>
        <v>0</v>
      </c>
      <c r="C10" s="44">
        <f>C5/Dados!D$15</f>
        <v>0</v>
      </c>
      <c r="D10" s="44">
        <f>D5/Dados!E$15</f>
        <v>0</v>
      </c>
      <c r="E10" s="44">
        <f>E5/Dados!F$15</f>
        <v>0</v>
      </c>
      <c r="F10" s="44">
        <f>F5/Dados!G$15</f>
        <v>0.05797101449</v>
      </c>
      <c r="G10" s="44">
        <f>G5/Dados!H$15</f>
        <v>0</v>
      </c>
      <c r="H10" s="44">
        <f>H5/Dados!I$15</f>
        <v>0</v>
      </c>
      <c r="I10" s="44">
        <f>I5/Dados!J$15</f>
        <v>0</v>
      </c>
      <c r="J10" s="44">
        <f>J5/Dados!K$15</f>
        <v>0</v>
      </c>
      <c r="K10" s="44">
        <f>K5/Dados!L$15</f>
        <v>0</v>
      </c>
      <c r="L10" s="44">
        <f>L5/Dados!M$15</f>
        <v>0</v>
      </c>
      <c r="M10" s="44">
        <f>M5/Dados!N$15</f>
        <v>0</v>
      </c>
      <c r="N10" s="44">
        <f>N5/Dados!O$15</f>
        <v>0</v>
      </c>
      <c r="O10" s="44">
        <f>O5/Dados!P$15</f>
        <v>0</v>
      </c>
    </row>
    <row r="12">
      <c r="A12" s="45" t="str">
        <f>Dados!B19</f>
        <v>Característica</v>
      </c>
      <c r="B12" s="46" t="str">
        <f>Dados!R19</f>
        <v>%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</row>
    <row r="13">
      <c r="A13" s="45" t="str">
        <f>Dados!B20</f>
        <v>Mulher</v>
      </c>
      <c r="B13" s="46">
        <f>Dados!R20</f>
        <v>0.05774912705</v>
      </c>
    </row>
    <row r="14">
      <c r="A14" s="45" t="str">
        <f>Dados!B21</f>
        <v>Crianças e adolescentes</v>
      </c>
      <c r="B14" s="46">
        <f>Dados!R21</f>
        <v>0.003223207091</v>
      </c>
    </row>
    <row r="15">
      <c r="A15" s="45" t="str">
        <f>Dados!B22</f>
        <v>Capacete</v>
      </c>
      <c r="B15" s="46">
        <f>Dados!R22</f>
        <v>0.01692183723</v>
      </c>
    </row>
    <row r="16">
      <c r="A16" s="45" t="s">
        <v>12</v>
      </c>
      <c r="B16" s="46">
        <f>SUM(Dados!R23)</f>
        <v>0.04458769809</v>
      </c>
    </row>
    <row r="17">
      <c r="A17" s="45" t="str">
        <f>Dados!B24</f>
        <v>Cargueira</v>
      </c>
      <c r="B17" s="46">
        <f>Dados!R24</f>
        <v>0.09884501746</v>
      </c>
    </row>
    <row r="18">
      <c r="A18" s="45" t="str">
        <f>Dados!B25</f>
        <v>Serviço</v>
      </c>
      <c r="B18" s="46">
        <f>Dados!R25</f>
        <v>0.03062046737</v>
      </c>
    </row>
    <row r="19">
      <c r="A19" s="45" t="str">
        <f>Dados!B26</f>
        <v>Contramao</v>
      </c>
      <c r="B19" s="46">
        <f>Dados!R26</f>
        <v>0.07843137255</v>
      </c>
    </row>
    <row r="20">
      <c r="A20" s="45" t="str">
        <f>Dados!B27</f>
        <v>Calçada</v>
      </c>
      <c r="B20" s="46">
        <f>Dados!R27</f>
        <v>0</v>
      </c>
    </row>
    <row r="21">
      <c r="A21" s="47"/>
      <c r="B21" s="47"/>
    </row>
    <row r="22">
      <c r="A22" s="47"/>
      <c r="B22" s="47"/>
    </row>
    <row r="23">
      <c r="A23" s="47"/>
      <c r="B23" s="47"/>
    </row>
    <row r="24">
      <c r="A24" s="47"/>
      <c r="B24" s="47"/>
    </row>
    <row r="25">
      <c r="A25" s="47"/>
      <c r="B25" s="47"/>
    </row>
    <row r="26">
      <c r="A26" s="47"/>
      <c r="B26" s="47"/>
    </row>
    <row r="27">
      <c r="A27" s="47"/>
      <c r="B27" s="47"/>
    </row>
    <row r="28">
      <c r="A28" s="47"/>
      <c r="B28" s="47"/>
    </row>
    <row r="29">
      <c r="A29" s="47"/>
      <c r="B29" s="47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2" width="14.88"/>
    <col customWidth="1" min="3" max="3" width="8.63"/>
    <col customWidth="1" min="4" max="5" width="7.63"/>
    <col customWidth="1" min="6" max="6" width="7.75"/>
    <col customWidth="1" min="7" max="13" width="8.5"/>
    <col customWidth="1" min="14" max="15" width="8.88"/>
    <col customWidth="1" min="16" max="16" width="8.5"/>
    <col customWidth="1" min="17" max="17" width="8.75"/>
    <col customWidth="1" min="18" max="18" width="8.5"/>
  </cols>
  <sheetData>
    <row r="1" ht="12.0" customHeight="1">
      <c r="A1" s="48"/>
      <c r="B1" s="48"/>
      <c r="C1" s="49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1"/>
      <c r="P1" s="50"/>
      <c r="Q1" s="50"/>
      <c r="R1" s="52"/>
    </row>
    <row r="2" ht="12.0" customHeight="1">
      <c r="A2" s="48"/>
      <c r="B2" s="53"/>
      <c r="C2" s="54" t="s">
        <v>45</v>
      </c>
      <c r="D2" s="55" t="s">
        <v>46</v>
      </c>
      <c r="E2" s="55" t="s">
        <v>47</v>
      </c>
      <c r="F2" s="55" t="s">
        <v>48</v>
      </c>
      <c r="G2" s="55" t="s">
        <v>49</v>
      </c>
      <c r="H2" s="55" t="s">
        <v>50</v>
      </c>
      <c r="I2" s="55" t="s">
        <v>51</v>
      </c>
      <c r="J2" s="55" t="s">
        <v>52</v>
      </c>
      <c r="K2" s="55" t="s">
        <v>53</v>
      </c>
      <c r="L2" s="55" t="s">
        <v>54</v>
      </c>
      <c r="M2" s="55" t="s">
        <v>55</v>
      </c>
      <c r="N2" s="55" t="s">
        <v>56</v>
      </c>
      <c r="O2" s="56" t="s">
        <v>57</v>
      </c>
      <c r="P2" s="57" t="s">
        <v>58</v>
      </c>
      <c r="Q2" s="58" t="s">
        <v>20</v>
      </c>
      <c r="R2" s="59" t="s">
        <v>21</v>
      </c>
    </row>
    <row r="3" ht="14.25" customHeight="1">
      <c r="A3" s="60"/>
      <c r="B3" s="61" t="s">
        <v>59</v>
      </c>
      <c r="C3" s="62">
        <v>0.0</v>
      </c>
      <c r="D3" s="63">
        <v>0.0</v>
      </c>
      <c r="E3" s="63">
        <v>3.0</v>
      </c>
      <c r="F3" s="63">
        <v>2.0</v>
      </c>
      <c r="G3" s="63">
        <v>3.0</v>
      </c>
      <c r="H3" s="63">
        <v>1.0</v>
      </c>
      <c r="I3" s="63">
        <v>2.0</v>
      </c>
      <c r="J3" s="63">
        <v>6.0</v>
      </c>
      <c r="K3" s="63">
        <v>3.0</v>
      </c>
      <c r="L3" s="63">
        <v>3.0</v>
      </c>
      <c r="M3" s="63">
        <v>4.0</v>
      </c>
      <c r="N3" s="63">
        <v>6.0</v>
      </c>
      <c r="O3" s="63">
        <v>5.0</v>
      </c>
      <c r="P3" s="64">
        <v>2.0</v>
      </c>
      <c r="Q3" s="65">
        <f t="shared" ref="Q3:Q29" si="1">SUM(C3:P3)</f>
        <v>40</v>
      </c>
      <c r="R3" s="66">
        <f t="shared" ref="R3:R14" si="2">Q3/$Q$16</f>
        <v>0.02795248078</v>
      </c>
    </row>
    <row r="4" ht="14.25" customHeight="1">
      <c r="A4" s="60"/>
      <c r="B4" s="67" t="s">
        <v>60</v>
      </c>
      <c r="C4" s="68">
        <v>2.0</v>
      </c>
      <c r="D4" s="69">
        <v>1.0</v>
      </c>
      <c r="E4" s="69">
        <v>2.0</v>
      </c>
      <c r="F4" s="69">
        <v>1.0</v>
      </c>
      <c r="G4" s="69">
        <v>1.0</v>
      </c>
      <c r="H4" s="69">
        <v>8.0</v>
      </c>
      <c r="I4" s="69">
        <v>3.0</v>
      </c>
      <c r="J4" s="69">
        <v>2.0</v>
      </c>
      <c r="K4" s="69">
        <v>1.0</v>
      </c>
      <c r="L4" s="69">
        <v>5.0</v>
      </c>
      <c r="M4" s="69">
        <v>6.0</v>
      </c>
      <c r="N4" s="69">
        <v>8.0</v>
      </c>
      <c r="O4" s="69">
        <v>8.0</v>
      </c>
      <c r="P4" s="70">
        <v>4.0</v>
      </c>
      <c r="Q4" s="71">
        <f t="shared" si="1"/>
        <v>52</v>
      </c>
      <c r="R4" s="72">
        <f t="shared" si="2"/>
        <v>0.03633822502</v>
      </c>
    </row>
    <row r="5" ht="14.25" customHeight="1">
      <c r="A5" s="60"/>
      <c r="B5" s="67" t="s">
        <v>61</v>
      </c>
      <c r="C5" s="68">
        <v>1.0</v>
      </c>
      <c r="D5" s="69">
        <v>0.0</v>
      </c>
      <c r="E5" s="69">
        <v>5.0</v>
      </c>
      <c r="F5" s="69">
        <v>4.0</v>
      </c>
      <c r="G5" s="69">
        <v>1.0</v>
      </c>
      <c r="H5" s="69">
        <v>7.0</v>
      </c>
      <c r="I5" s="69">
        <v>0.0</v>
      </c>
      <c r="J5" s="69">
        <v>2.0</v>
      </c>
      <c r="K5" s="69">
        <v>3.0</v>
      </c>
      <c r="L5" s="69">
        <v>1.0</v>
      </c>
      <c r="M5" s="69">
        <v>4.0</v>
      </c>
      <c r="N5" s="69">
        <v>8.0</v>
      </c>
      <c r="O5" s="69">
        <v>10.0</v>
      </c>
      <c r="P5" s="70">
        <v>4.0</v>
      </c>
      <c r="Q5" s="71">
        <f t="shared" si="1"/>
        <v>50</v>
      </c>
      <c r="R5" s="72">
        <f t="shared" si="2"/>
        <v>0.03494060098</v>
      </c>
    </row>
    <row r="6" ht="14.25" customHeight="1">
      <c r="A6" s="60"/>
      <c r="B6" s="67" t="s">
        <v>62</v>
      </c>
      <c r="C6" s="68">
        <v>0.0</v>
      </c>
      <c r="D6" s="69">
        <v>1.0</v>
      </c>
      <c r="E6" s="69">
        <v>1.0</v>
      </c>
      <c r="F6" s="69">
        <v>1.0</v>
      </c>
      <c r="G6" s="69">
        <v>1.0</v>
      </c>
      <c r="H6" s="69">
        <v>1.0</v>
      </c>
      <c r="I6" s="69">
        <v>2.0</v>
      </c>
      <c r="J6" s="69">
        <v>2.0</v>
      </c>
      <c r="K6" s="69">
        <v>0.0</v>
      </c>
      <c r="L6" s="69">
        <v>3.0</v>
      </c>
      <c r="M6" s="69">
        <v>2.0</v>
      </c>
      <c r="N6" s="69">
        <v>1.0</v>
      </c>
      <c r="O6" s="69">
        <v>3.0</v>
      </c>
      <c r="P6" s="70">
        <v>0.0</v>
      </c>
      <c r="Q6" s="71">
        <f t="shared" si="1"/>
        <v>18</v>
      </c>
      <c r="R6" s="72">
        <f t="shared" si="2"/>
        <v>0.01257861635</v>
      </c>
    </row>
    <row r="7" ht="14.25" customHeight="1">
      <c r="A7" s="60"/>
      <c r="B7" s="67" t="s">
        <v>63</v>
      </c>
      <c r="C7" s="68">
        <v>5.0</v>
      </c>
      <c r="D7" s="69">
        <v>5.0</v>
      </c>
      <c r="E7" s="69">
        <v>5.0</v>
      </c>
      <c r="F7" s="69">
        <v>4.0</v>
      </c>
      <c r="G7" s="69">
        <v>5.0</v>
      </c>
      <c r="H7" s="69">
        <v>6.0</v>
      </c>
      <c r="I7" s="69">
        <v>8.0</v>
      </c>
      <c r="J7" s="69">
        <v>4.0</v>
      </c>
      <c r="K7" s="69">
        <v>6.0</v>
      </c>
      <c r="L7" s="69">
        <v>8.0</v>
      </c>
      <c r="M7" s="69">
        <v>7.0</v>
      </c>
      <c r="N7" s="69">
        <v>21.0</v>
      </c>
      <c r="O7" s="69">
        <v>13.0</v>
      </c>
      <c r="P7" s="70">
        <v>4.0</v>
      </c>
      <c r="Q7" s="71">
        <f t="shared" si="1"/>
        <v>101</v>
      </c>
      <c r="R7" s="72">
        <f t="shared" si="2"/>
        <v>0.07058001398</v>
      </c>
    </row>
    <row r="8" ht="14.25" customHeight="1">
      <c r="A8" s="60"/>
      <c r="B8" s="67" t="s">
        <v>64</v>
      </c>
      <c r="C8" s="68">
        <v>0.0</v>
      </c>
      <c r="D8" s="69">
        <v>3.0</v>
      </c>
      <c r="E8" s="69">
        <v>0.0</v>
      </c>
      <c r="F8" s="69">
        <v>0.0</v>
      </c>
      <c r="G8" s="69">
        <v>0.0</v>
      </c>
      <c r="H8" s="69">
        <v>0.0</v>
      </c>
      <c r="I8" s="69">
        <v>0.0</v>
      </c>
      <c r="J8" s="69">
        <v>1.0</v>
      </c>
      <c r="K8" s="69">
        <v>0.0</v>
      </c>
      <c r="L8" s="69">
        <v>0.0</v>
      </c>
      <c r="M8" s="69">
        <v>0.0</v>
      </c>
      <c r="N8" s="69">
        <v>0.0</v>
      </c>
      <c r="O8" s="69">
        <v>0.0</v>
      </c>
      <c r="P8" s="70">
        <v>0.0</v>
      </c>
      <c r="Q8" s="71">
        <f t="shared" si="1"/>
        <v>4</v>
      </c>
      <c r="R8" s="72">
        <f t="shared" si="2"/>
        <v>0.002795248078</v>
      </c>
    </row>
    <row r="9" ht="14.25" customHeight="1">
      <c r="A9" s="60"/>
      <c r="B9" s="67" t="s">
        <v>65</v>
      </c>
      <c r="C9" s="68">
        <v>32.0</v>
      </c>
      <c r="D9" s="69">
        <v>24.0</v>
      </c>
      <c r="E9" s="69">
        <v>14.0</v>
      </c>
      <c r="F9" s="69">
        <v>10.0</v>
      </c>
      <c r="G9" s="69">
        <v>15.0</v>
      </c>
      <c r="H9" s="69">
        <v>11.0</v>
      </c>
      <c r="I9" s="69">
        <v>8.0</v>
      </c>
      <c r="J9" s="69">
        <v>3.0</v>
      </c>
      <c r="K9" s="69">
        <v>4.0</v>
      </c>
      <c r="L9" s="69">
        <v>9.0</v>
      </c>
      <c r="M9" s="69">
        <v>5.0</v>
      </c>
      <c r="N9" s="69">
        <v>8.0</v>
      </c>
      <c r="O9" s="69">
        <v>10.0</v>
      </c>
      <c r="P9" s="70">
        <v>5.0</v>
      </c>
      <c r="Q9" s="71">
        <f t="shared" si="1"/>
        <v>158</v>
      </c>
      <c r="R9" s="72">
        <f t="shared" si="2"/>
        <v>0.1104122991</v>
      </c>
    </row>
    <row r="10" ht="14.25" customHeight="1">
      <c r="A10" s="60"/>
      <c r="B10" s="67" t="s">
        <v>66</v>
      </c>
      <c r="C10" s="68">
        <v>47.0</v>
      </c>
      <c r="D10" s="69">
        <v>95.0</v>
      </c>
      <c r="E10" s="69">
        <v>49.0</v>
      </c>
      <c r="F10" s="69">
        <v>35.0</v>
      </c>
      <c r="G10" s="69">
        <v>34.0</v>
      </c>
      <c r="H10" s="69">
        <v>29.0</v>
      </c>
      <c r="I10" s="69">
        <v>20.0</v>
      </c>
      <c r="J10" s="69">
        <v>22.0</v>
      </c>
      <c r="K10" s="69">
        <v>28.0</v>
      </c>
      <c r="L10" s="69">
        <v>27.0</v>
      </c>
      <c r="M10" s="69">
        <v>40.0</v>
      </c>
      <c r="N10" s="69">
        <v>45.0</v>
      </c>
      <c r="O10" s="69">
        <v>57.0</v>
      </c>
      <c r="P10" s="70">
        <v>25.0</v>
      </c>
      <c r="Q10" s="71">
        <f t="shared" si="1"/>
        <v>553</v>
      </c>
      <c r="R10" s="72">
        <f t="shared" si="2"/>
        <v>0.3864430468</v>
      </c>
    </row>
    <row r="11" ht="14.25" customHeight="1">
      <c r="A11" s="60"/>
      <c r="B11" s="67" t="s">
        <v>67</v>
      </c>
      <c r="C11" s="68">
        <v>3.0</v>
      </c>
      <c r="D11" s="69">
        <v>8.0</v>
      </c>
      <c r="E11" s="69">
        <v>1.0</v>
      </c>
      <c r="F11" s="69">
        <v>4.0</v>
      </c>
      <c r="G11" s="69">
        <v>2.0</v>
      </c>
      <c r="H11" s="69">
        <v>1.0</v>
      </c>
      <c r="I11" s="69">
        <v>1.0</v>
      </c>
      <c r="J11" s="69">
        <v>1.0</v>
      </c>
      <c r="K11" s="69">
        <v>1.0</v>
      </c>
      <c r="L11" s="69">
        <v>2.0</v>
      </c>
      <c r="M11" s="69">
        <v>10.0</v>
      </c>
      <c r="N11" s="69">
        <v>5.0</v>
      </c>
      <c r="O11" s="69">
        <v>3.0</v>
      </c>
      <c r="P11" s="70">
        <v>4.0</v>
      </c>
      <c r="Q11" s="71">
        <f t="shared" si="1"/>
        <v>46</v>
      </c>
      <c r="R11" s="72">
        <f t="shared" si="2"/>
        <v>0.0321453529</v>
      </c>
    </row>
    <row r="12" ht="14.25" customHeight="1">
      <c r="A12" s="60"/>
      <c r="B12" s="67" t="s">
        <v>68</v>
      </c>
      <c r="C12" s="68">
        <v>1.0</v>
      </c>
      <c r="D12" s="69">
        <v>7.0</v>
      </c>
      <c r="E12" s="69">
        <v>9.0</v>
      </c>
      <c r="F12" s="69">
        <v>3.0</v>
      </c>
      <c r="G12" s="69">
        <v>3.0</v>
      </c>
      <c r="H12" s="69">
        <v>6.0</v>
      </c>
      <c r="I12" s="69">
        <v>0.0</v>
      </c>
      <c r="J12" s="69">
        <v>6.0</v>
      </c>
      <c r="K12" s="69">
        <v>1.0</v>
      </c>
      <c r="L12" s="69">
        <v>2.0</v>
      </c>
      <c r="M12" s="69">
        <v>2.0</v>
      </c>
      <c r="N12" s="69">
        <v>6.0</v>
      </c>
      <c r="O12" s="69">
        <v>3.0</v>
      </c>
      <c r="P12" s="70">
        <v>1.0</v>
      </c>
      <c r="Q12" s="71">
        <f t="shared" si="1"/>
        <v>50</v>
      </c>
      <c r="R12" s="72">
        <f t="shared" si="2"/>
        <v>0.03494060098</v>
      </c>
    </row>
    <row r="13" ht="14.25" customHeight="1">
      <c r="A13" s="60"/>
      <c r="B13" s="67" t="s">
        <v>69</v>
      </c>
      <c r="C13" s="68">
        <v>52.0</v>
      </c>
      <c r="D13" s="69">
        <v>67.0</v>
      </c>
      <c r="E13" s="69">
        <v>28.0</v>
      </c>
      <c r="F13" s="69">
        <v>23.0</v>
      </c>
      <c r="G13" s="69">
        <v>11.0</v>
      </c>
      <c r="H13" s="69">
        <v>19.0</v>
      </c>
      <c r="I13" s="69">
        <v>10.0</v>
      </c>
      <c r="J13" s="69">
        <v>7.0</v>
      </c>
      <c r="K13" s="69">
        <v>12.0</v>
      </c>
      <c r="L13" s="69">
        <v>13.0</v>
      </c>
      <c r="M13" s="69">
        <v>12.0</v>
      </c>
      <c r="N13" s="69">
        <v>20.0</v>
      </c>
      <c r="O13" s="69">
        <v>28.0</v>
      </c>
      <c r="P13" s="70">
        <v>5.0</v>
      </c>
      <c r="Q13" s="71">
        <f t="shared" si="1"/>
        <v>307</v>
      </c>
      <c r="R13" s="72">
        <f t="shared" si="2"/>
        <v>0.21453529</v>
      </c>
    </row>
    <row r="14" ht="14.25" customHeight="1">
      <c r="A14" s="60"/>
      <c r="B14" s="73" t="s">
        <v>70</v>
      </c>
      <c r="C14" s="74">
        <v>0.0</v>
      </c>
      <c r="D14" s="75">
        <v>11.0</v>
      </c>
      <c r="E14" s="75">
        <v>7.0</v>
      </c>
      <c r="F14" s="75">
        <v>4.0</v>
      </c>
      <c r="G14" s="75">
        <v>1.0</v>
      </c>
      <c r="H14" s="75">
        <v>1.0</v>
      </c>
      <c r="I14" s="75">
        <v>1.0</v>
      </c>
      <c r="J14" s="75">
        <v>1.0</v>
      </c>
      <c r="K14" s="75">
        <v>5.0</v>
      </c>
      <c r="L14" s="75">
        <v>2.0</v>
      </c>
      <c r="M14" s="75">
        <v>2.0</v>
      </c>
      <c r="N14" s="75">
        <v>5.0</v>
      </c>
      <c r="O14" s="75">
        <v>6.0</v>
      </c>
      <c r="P14" s="76">
        <v>6.0</v>
      </c>
      <c r="Q14" s="77">
        <f t="shared" si="1"/>
        <v>52</v>
      </c>
      <c r="R14" s="78">
        <f t="shared" si="2"/>
        <v>0.03633822502</v>
      </c>
    </row>
    <row r="15" ht="14.25" customHeight="1">
      <c r="A15" s="79"/>
      <c r="B15" s="80" t="s">
        <v>26</v>
      </c>
      <c r="C15" s="81">
        <f t="shared" ref="C15:P15" si="3">C16/$Q$16</f>
        <v>0.0999301188</v>
      </c>
      <c r="D15" s="82">
        <f t="shared" si="3"/>
        <v>0.1551362683</v>
      </c>
      <c r="E15" s="82">
        <f t="shared" si="3"/>
        <v>0.08665269043</v>
      </c>
      <c r="F15" s="82">
        <f t="shared" si="3"/>
        <v>0.06359189378</v>
      </c>
      <c r="G15" s="82">
        <f t="shared" si="3"/>
        <v>0.05380852551</v>
      </c>
      <c r="H15" s="82">
        <f t="shared" si="3"/>
        <v>0.06289308176</v>
      </c>
      <c r="I15" s="82">
        <f t="shared" si="3"/>
        <v>0.03843466108</v>
      </c>
      <c r="J15" s="82">
        <f t="shared" si="3"/>
        <v>0.03983228512</v>
      </c>
      <c r="K15" s="82">
        <f t="shared" si="3"/>
        <v>0.04472396925</v>
      </c>
      <c r="L15" s="82">
        <f t="shared" si="3"/>
        <v>0.05241090147</v>
      </c>
      <c r="M15" s="82">
        <f t="shared" si="3"/>
        <v>0.06568832984</v>
      </c>
      <c r="N15" s="82">
        <f t="shared" si="3"/>
        <v>0.0929419986</v>
      </c>
      <c r="O15" s="82">
        <f t="shared" si="3"/>
        <v>0.1020265549</v>
      </c>
      <c r="P15" s="83">
        <f t="shared" si="3"/>
        <v>0.04192872117</v>
      </c>
      <c r="Q15" s="84">
        <f t="shared" si="1"/>
        <v>1</v>
      </c>
      <c r="R15" s="85"/>
    </row>
    <row r="16" ht="14.25" customHeight="1">
      <c r="A16" s="86"/>
      <c r="B16" s="87" t="s">
        <v>20</v>
      </c>
      <c r="C16" s="88">
        <f t="shared" ref="C16:P16" si="4">SUM(C3:C14)</f>
        <v>143</v>
      </c>
      <c r="D16" s="89">
        <f t="shared" si="4"/>
        <v>222</v>
      </c>
      <c r="E16" s="89">
        <f t="shared" si="4"/>
        <v>124</v>
      </c>
      <c r="F16" s="89">
        <f t="shared" si="4"/>
        <v>91</v>
      </c>
      <c r="G16" s="89">
        <f t="shared" si="4"/>
        <v>77</v>
      </c>
      <c r="H16" s="89">
        <f t="shared" si="4"/>
        <v>90</v>
      </c>
      <c r="I16" s="89">
        <f t="shared" si="4"/>
        <v>55</v>
      </c>
      <c r="J16" s="89">
        <f t="shared" si="4"/>
        <v>57</v>
      </c>
      <c r="K16" s="89">
        <f t="shared" si="4"/>
        <v>64</v>
      </c>
      <c r="L16" s="89">
        <f t="shared" si="4"/>
        <v>75</v>
      </c>
      <c r="M16" s="89">
        <f t="shared" si="4"/>
        <v>94</v>
      </c>
      <c r="N16" s="89">
        <f t="shared" si="4"/>
        <v>133</v>
      </c>
      <c r="O16" s="89">
        <f t="shared" si="4"/>
        <v>146</v>
      </c>
      <c r="P16" s="90">
        <f t="shared" si="4"/>
        <v>60</v>
      </c>
      <c r="Q16" s="91">
        <f t="shared" si="1"/>
        <v>1431</v>
      </c>
      <c r="R16" s="92">
        <f>SUM(R3:R15)</f>
        <v>1</v>
      </c>
    </row>
    <row r="17" ht="14.25" customHeight="1">
      <c r="A17" s="86"/>
      <c r="B17" s="93" t="s">
        <v>11</v>
      </c>
      <c r="C17" s="62">
        <v>3.0</v>
      </c>
      <c r="D17" s="63">
        <v>15.0</v>
      </c>
      <c r="E17" s="63">
        <v>13.0</v>
      </c>
      <c r="F17" s="63">
        <v>13.0</v>
      </c>
      <c r="G17" s="63">
        <v>5.0</v>
      </c>
      <c r="H17" s="63">
        <v>6.0</v>
      </c>
      <c r="I17" s="63">
        <v>7.0</v>
      </c>
      <c r="J17" s="63">
        <v>3.0</v>
      </c>
      <c r="K17" s="63">
        <v>6.0</v>
      </c>
      <c r="L17" s="63">
        <v>4.0</v>
      </c>
      <c r="M17" s="63">
        <v>4.0</v>
      </c>
      <c r="N17" s="63">
        <v>7.0</v>
      </c>
      <c r="O17" s="63">
        <v>22.0</v>
      </c>
      <c r="P17" s="64">
        <v>25.0</v>
      </c>
      <c r="Q17" s="65">
        <f t="shared" si="1"/>
        <v>133</v>
      </c>
      <c r="R17" s="94">
        <f t="shared" ref="R17:R28" si="5">Q17/$Q$16</f>
        <v>0.0929419986</v>
      </c>
    </row>
    <row r="18" ht="14.25" customHeight="1">
      <c r="A18" s="86"/>
      <c r="B18" s="95" t="s">
        <v>29</v>
      </c>
      <c r="C18" s="68">
        <v>3.0</v>
      </c>
      <c r="D18" s="69">
        <v>4.0</v>
      </c>
      <c r="E18" s="69">
        <v>3.0</v>
      </c>
      <c r="F18" s="69">
        <v>1.0</v>
      </c>
      <c r="G18" s="69">
        <v>0.0</v>
      </c>
      <c r="H18" s="69">
        <v>3.0</v>
      </c>
      <c r="I18" s="69">
        <v>0.0</v>
      </c>
      <c r="J18" s="69">
        <v>0.0</v>
      </c>
      <c r="K18" s="69">
        <v>2.0</v>
      </c>
      <c r="L18" s="69">
        <v>0.0</v>
      </c>
      <c r="M18" s="69">
        <v>3.0</v>
      </c>
      <c r="N18" s="69">
        <v>4.0</v>
      </c>
      <c r="O18" s="69">
        <v>6.0</v>
      </c>
      <c r="P18" s="70">
        <v>2.0</v>
      </c>
      <c r="Q18" s="71">
        <f t="shared" si="1"/>
        <v>31</v>
      </c>
      <c r="R18" s="94">
        <f t="shared" si="5"/>
        <v>0.02166317261</v>
      </c>
    </row>
    <row r="19" ht="14.25" customHeight="1">
      <c r="A19" s="86"/>
      <c r="B19" s="95" t="s">
        <v>31</v>
      </c>
      <c r="C19" s="96">
        <f t="shared" ref="C19:P19" si="6">C14+C11+C8+C7+C6+C5+C4+C3</f>
        <v>11</v>
      </c>
      <c r="D19" s="97">
        <f t="shared" si="6"/>
        <v>29</v>
      </c>
      <c r="E19" s="97">
        <f t="shared" si="6"/>
        <v>24</v>
      </c>
      <c r="F19" s="97">
        <f t="shared" si="6"/>
        <v>20</v>
      </c>
      <c r="G19" s="97">
        <f t="shared" si="6"/>
        <v>14</v>
      </c>
      <c r="H19" s="97">
        <f t="shared" si="6"/>
        <v>25</v>
      </c>
      <c r="I19" s="97">
        <f t="shared" si="6"/>
        <v>17</v>
      </c>
      <c r="J19" s="97">
        <f t="shared" si="6"/>
        <v>19</v>
      </c>
      <c r="K19" s="97">
        <f t="shared" si="6"/>
        <v>19</v>
      </c>
      <c r="L19" s="97">
        <f t="shared" si="6"/>
        <v>24</v>
      </c>
      <c r="M19" s="97">
        <f t="shared" si="6"/>
        <v>35</v>
      </c>
      <c r="N19" s="97">
        <f t="shared" si="6"/>
        <v>54</v>
      </c>
      <c r="O19" s="97">
        <f t="shared" si="6"/>
        <v>48</v>
      </c>
      <c r="P19" s="98">
        <f t="shared" si="6"/>
        <v>24</v>
      </c>
      <c r="Q19" s="71">
        <f t="shared" si="1"/>
        <v>363</v>
      </c>
      <c r="R19" s="94">
        <f t="shared" si="5"/>
        <v>0.2536687631</v>
      </c>
    </row>
    <row r="20" ht="14.25" customHeight="1">
      <c r="A20" s="86"/>
      <c r="B20" s="95" t="s">
        <v>71</v>
      </c>
      <c r="C20" s="68">
        <v>11.0</v>
      </c>
      <c r="D20" s="69">
        <v>23.0</v>
      </c>
      <c r="E20" s="69">
        <v>38.0</v>
      </c>
      <c r="F20" s="69">
        <v>21.0</v>
      </c>
      <c r="G20" s="69">
        <v>16.0</v>
      </c>
      <c r="H20" s="69">
        <v>12.0</v>
      </c>
      <c r="I20" s="69">
        <v>8.0</v>
      </c>
      <c r="J20" s="69">
        <v>7.0</v>
      </c>
      <c r="K20" s="69">
        <v>19.0</v>
      </c>
      <c r="L20" s="69">
        <v>13.0</v>
      </c>
      <c r="M20" s="69">
        <v>7.0</v>
      </c>
      <c r="N20" s="69">
        <v>24.0</v>
      </c>
      <c r="O20" s="69">
        <v>7.0</v>
      </c>
      <c r="P20" s="70">
        <v>4.0</v>
      </c>
      <c r="Q20" s="71">
        <f t="shared" si="1"/>
        <v>210</v>
      </c>
      <c r="R20" s="94">
        <f t="shared" si="5"/>
        <v>0.1467505241</v>
      </c>
    </row>
    <row r="21" ht="14.25" customHeight="1">
      <c r="A21" s="86"/>
      <c r="B21" s="95" t="s">
        <v>14</v>
      </c>
      <c r="C21" s="68">
        <v>1.0</v>
      </c>
      <c r="D21" s="69">
        <v>0.0</v>
      </c>
      <c r="E21" s="69">
        <v>0.0</v>
      </c>
      <c r="F21" s="69">
        <v>0.0</v>
      </c>
      <c r="G21" s="69">
        <v>11.0</v>
      </c>
      <c r="H21" s="69">
        <v>14.0</v>
      </c>
      <c r="I21" s="69">
        <v>6.0</v>
      </c>
      <c r="J21" s="69">
        <v>6.0</v>
      </c>
      <c r="K21" s="69">
        <v>4.0</v>
      </c>
      <c r="L21" s="69">
        <v>12.0</v>
      </c>
      <c r="M21" s="69">
        <v>3.0</v>
      </c>
      <c r="N21" s="69">
        <v>14.0</v>
      </c>
      <c r="O21" s="69">
        <v>1.0</v>
      </c>
      <c r="P21" s="70">
        <v>0.0</v>
      </c>
      <c r="Q21" s="71">
        <f t="shared" si="1"/>
        <v>72</v>
      </c>
      <c r="R21" s="94">
        <f t="shared" si="5"/>
        <v>0.05031446541</v>
      </c>
    </row>
    <row r="22" ht="14.25" customHeight="1">
      <c r="A22" s="86"/>
      <c r="B22" s="95" t="s">
        <v>9</v>
      </c>
      <c r="C22" s="68">
        <v>16.0</v>
      </c>
      <c r="D22" s="69">
        <v>7.0</v>
      </c>
      <c r="E22" s="69">
        <v>7.0</v>
      </c>
      <c r="F22" s="69">
        <v>9.0</v>
      </c>
      <c r="G22" s="69">
        <v>4.0</v>
      </c>
      <c r="H22" s="69">
        <v>0.0</v>
      </c>
      <c r="I22" s="69">
        <v>1.0</v>
      </c>
      <c r="J22" s="69">
        <v>1.0</v>
      </c>
      <c r="K22" s="69">
        <v>2.0</v>
      </c>
      <c r="L22" s="69">
        <v>2.0</v>
      </c>
      <c r="M22" s="69">
        <v>8.0</v>
      </c>
      <c r="N22" s="69">
        <v>6.0</v>
      </c>
      <c r="O22" s="69">
        <v>8.0</v>
      </c>
      <c r="P22" s="70">
        <v>5.0</v>
      </c>
      <c r="Q22" s="71">
        <f t="shared" si="1"/>
        <v>76</v>
      </c>
      <c r="R22" s="94">
        <f t="shared" si="5"/>
        <v>0.05310971349</v>
      </c>
    </row>
    <row r="23" ht="14.25" customHeight="1">
      <c r="A23" s="86"/>
      <c r="B23" s="95" t="s">
        <v>72</v>
      </c>
      <c r="C23" s="96">
        <f t="shared" ref="C23:P23" si="7">C16-C22</f>
        <v>127</v>
      </c>
      <c r="D23" s="97">
        <f t="shared" si="7"/>
        <v>215</v>
      </c>
      <c r="E23" s="97">
        <f t="shared" si="7"/>
        <v>117</v>
      </c>
      <c r="F23" s="97">
        <f t="shared" si="7"/>
        <v>82</v>
      </c>
      <c r="G23" s="97">
        <f t="shared" si="7"/>
        <v>73</v>
      </c>
      <c r="H23" s="97">
        <f t="shared" si="7"/>
        <v>90</v>
      </c>
      <c r="I23" s="97">
        <f t="shared" si="7"/>
        <v>54</v>
      </c>
      <c r="J23" s="97">
        <f t="shared" si="7"/>
        <v>56</v>
      </c>
      <c r="K23" s="97">
        <f t="shared" si="7"/>
        <v>62</v>
      </c>
      <c r="L23" s="97">
        <f t="shared" si="7"/>
        <v>73</v>
      </c>
      <c r="M23" s="97">
        <f t="shared" si="7"/>
        <v>86</v>
      </c>
      <c r="N23" s="97">
        <f t="shared" si="7"/>
        <v>127</v>
      </c>
      <c r="O23" s="97">
        <f t="shared" si="7"/>
        <v>138</v>
      </c>
      <c r="P23" s="98">
        <f t="shared" si="7"/>
        <v>55</v>
      </c>
      <c r="Q23" s="71">
        <f t="shared" si="1"/>
        <v>1355</v>
      </c>
      <c r="R23" s="94">
        <f t="shared" si="5"/>
        <v>0.9468902865</v>
      </c>
    </row>
    <row r="24" ht="14.25" customHeight="1">
      <c r="A24" s="86"/>
      <c r="B24" s="99" t="s">
        <v>35</v>
      </c>
      <c r="C24" s="69">
        <v>0.0</v>
      </c>
      <c r="D24" s="69">
        <v>0.0</v>
      </c>
      <c r="E24" s="69">
        <v>0.0</v>
      </c>
      <c r="F24" s="69">
        <v>0.0</v>
      </c>
      <c r="G24" s="69">
        <v>0.0</v>
      </c>
      <c r="H24" s="69">
        <v>0.0</v>
      </c>
      <c r="I24" s="69">
        <v>0.0</v>
      </c>
      <c r="J24" s="69">
        <v>0.0</v>
      </c>
      <c r="K24" s="69">
        <v>0.0</v>
      </c>
      <c r="L24" s="69">
        <v>0.0</v>
      </c>
      <c r="M24" s="69">
        <v>0.0</v>
      </c>
      <c r="N24" s="69">
        <v>0.0</v>
      </c>
      <c r="O24" s="69">
        <v>0.0</v>
      </c>
      <c r="P24" s="70">
        <v>0.0</v>
      </c>
      <c r="Q24" s="71">
        <f t="shared" si="1"/>
        <v>0</v>
      </c>
      <c r="R24" s="94">
        <f t="shared" si="5"/>
        <v>0</v>
      </c>
    </row>
    <row r="25" ht="14.25" customHeight="1">
      <c r="A25" s="86"/>
      <c r="B25" s="99" t="s">
        <v>36</v>
      </c>
      <c r="C25" s="69">
        <v>0.0</v>
      </c>
      <c r="D25" s="69">
        <v>0.0</v>
      </c>
      <c r="E25" s="69">
        <v>0.0</v>
      </c>
      <c r="F25" s="69">
        <v>0.0</v>
      </c>
      <c r="G25" s="69">
        <v>0.0</v>
      </c>
      <c r="H25" s="69">
        <v>0.0</v>
      </c>
      <c r="I25" s="69">
        <v>0.0</v>
      </c>
      <c r="J25" s="69">
        <v>0.0</v>
      </c>
      <c r="K25" s="69">
        <v>0.0</v>
      </c>
      <c r="L25" s="69">
        <v>0.0</v>
      </c>
      <c r="M25" s="69">
        <v>0.0</v>
      </c>
      <c r="N25" s="69">
        <v>0.0</v>
      </c>
      <c r="O25" s="69">
        <v>0.0</v>
      </c>
      <c r="P25" s="70">
        <v>0.0</v>
      </c>
      <c r="Q25" s="71">
        <f t="shared" si="1"/>
        <v>0</v>
      </c>
      <c r="R25" s="94">
        <f t="shared" si="5"/>
        <v>0</v>
      </c>
    </row>
    <row r="26" ht="14.25" customHeight="1">
      <c r="A26" s="86"/>
      <c r="B26" s="99" t="s">
        <v>37</v>
      </c>
      <c r="C26" s="69">
        <v>0.0</v>
      </c>
      <c r="D26" s="69">
        <v>0.0</v>
      </c>
      <c r="E26" s="69">
        <v>0.0</v>
      </c>
      <c r="F26" s="69">
        <v>0.0</v>
      </c>
      <c r="G26" s="69">
        <v>0.0</v>
      </c>
      <c r="H26" s="69">
        <v>0.0</v>
      </c>
      <c r="I26" s="69">
        <v>0.0</v>
      </c>
      <c r="J26" s="69">
        <v>0.0</v>
      </c>
      <c r="K26" s="69">
        <v>0.0</v>
      </c>
      <c r="L26" s="69">
        <v>0.0</v>
      </c>
      <c r="M26" s="69">
        <v>0.0</v>
      </c>
      <c r="N26" s="69">
        <v>0.0</v>
      </c>
      <c r="O26" s="69">
        <v>0.0</v>
      </c>
      <c r="P26" s="70">
        <v>0.0</v>
      </c>
      <c r="Q26" s="71">
        <f t="shared" si="1"/>
        <v>0</v>
      </c>
      <c r="R26" s="94">
        <f t="shared" si="5"/>
        <v>0</v>
      </c>
    </row>
    <row r="27" ht="14.25" customHeight="1">
      <c r="A27" s="86"/>
      <c r="B27" s="99" t="s">
        <v>73</v>
      </c>
      <c r="C27" s="69">
        <v>0.0</v>
      </c>
      <c r="D27" s="69">
        <v>0.0</v>
      </c>
      <c r="E27" s="69">
        <v>0.0</v>
      </c>
      <c r="F27" s="69">
        <v>0.0</v>
      </c>
      <c r="G27" s="69">
        <v>0.0</v>
      </c>
      <c r="H27" s="69">
        <v>0.0</v>
      </c>
      <c r="I27" s="69">
        <v>0.0</v>
      </c>
      <c r="J27" s="69">
        <v>0.0</v>
      </c>
      <c r="K27" s="69">
        <v>0.0</v>
      </c>
      <c r="L27" s="69">
        <v>1.0</v>
      </c>
      <c r="M27" s="69">
        <v>0.0</v>
      </c>
      <c r="N27" s="69">
        <v>0.0</v>
      </c>
      <c r="O27" s="69">
        <v>1.0</v>
      </c>
      <c r="P27" s="70">
        <v>0.0</v>
      </c>
      <c r="Q27" s="71">
        <f t="shared" si="1"/>
        <v>2</v>
      </c>
      <c r="R27" s="94">
        <f t="shared" si="5"/>
        <v>0.001397624039</v>
      </c>
    </row>
    <row r="28" ht="14.25" customHeight="1">
      <c r="A28" s="86"/>
      <c r="B28" s="100" t="s">
        <v>74</v>
      </c>
      <c r="C28" s="69">
        <v>0.0</v>
      </c>
      <c r="D28" s="69">
        <v>0.0</v>
      </c>
      <c r="E28" s="69">
        <v>0.0</v>
      </c>
      <c r="F28" s="69">
        <v>0.0</v>
      </c>
      <c r="G28" s="69">
        <v>0.0</v>
      </c>
      <c r="H28" s="69">
        <v>0.0</v>
      </c>
      <c r="I28" s="69">
        <v>0.0</v>
      </c>
      <c r="J28" s="69">
        <v>0.0</v>
      </c>
      <c r="K28" s="69">
        <v>0.0</v>
      </c>
      <c r="L28" s="69">
        <v>0.0</v>
      </c>
      <c r="M28" s="69">
        <v>0.0</v>
      </c>
      <c r="N28" s="69">
        <v>0.0</v>
      </c>
      <c r="O28" s="69">
        <v>0.0</v>
      </c>
      <c r="P28" s="70">
        <v>0.0</v>
      </c>
      <c r="Q28" s="77">
        <f t="shared" si="1"/>
        <v>0</v>
      </c>
      <c r="R28" s="94">
        <f t="shared" si="5"/>
        <v>0</v>
      </c>
    </row>
    <row r="29" ht="14.25" customHeight="1">
      <c r="A29" s="101"/>
      <c r="B29" s="102" t="str">
        <f>'LAMA-FORTE'!B29</f>
        <v>% capacete/hora</v>
      </c>
      <c r="C29" s="103">
        <f t="shared" ref="C29:P29" si="8">C17/C16</f>
        <v>0.02097902098</v>
      </c>
      <c r="D29" s="103">
        <f t="shared" si="8"/>
        <v>0.06756756757</v>
      </c>
      <c r="E29" s="103">
        <f t="shared" si="8"/>
        <v>0.1048387097</v>
      </c>
      <c r="F29" s="103">
        <f t="shared" si="8"/>
        <v>0.1428571429</v>
      </c>
      <c r="G29" s="103">
        <f t="shared" si="8"/>
        <v>0.06493506494</v>
      </c>
      <c r="H29" s="103">
        <f t="shared" si="8"/>
        <v>0.06666666667</v>
      </c>
      <c r="I29" s="103">
        <f t="shared" si="8"/>
        <v>0.1272727273</v>
      </c>
      <c r="J29" s="103">
        <f t="shared" si="8"/>
        <v>0.05263157895</v>
      </c>
      <c r="K29" s="103">
        <f t="shared" si="8"/>
        <v>0.09375</v>
      </c>
      <c r="L29" s="103">
        <f t="shared" si="8"/>
        <v>0.05333333333</v>
      </c>
      <c r="M29" s="103">
        <f t="shared" si="8"/>
        <v>0.04255319149</v>
      </c>
      <c r="N29" s="103">
        <f t="shared" si="8"/>
        <v>0.05263157895</v>
      </c>
      <c r="O29" s="103">
        <f t="shared" si="8"/>
        <v>0.1506849315</v>
      </c>
      <c r="P29" s="103">
        <f t="shared" si="8"/>
        <v>0.4166666667</v>
      </c>
      <c r="Q29" s="84">
        <f t="shared" si="1"/>
        <v>1.457368181</v>
      </c>
      <c r="R29" s="10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2" width="14.25"/>
    <col customWidth="1" min="3" max="3" width="7.0"/>
    <col customWidth="1" min="4" max="4" width="7.63"/>
    <col customWidth="1" min="5" max="5" width="7.0"/>
    <col customWidth="1" min="6" max="6" width="7.75"/>
    <col customWidth="1" min="7" max="13" width="8.5"/>
    <col customWidth="1" min="14" max="15" width="8.88"/>
    <col customWidth="1" min="16" max="16" width="8.5"/>
    <col customWidth="1" min="17" max="17" width="8.75"/>
    <col customWidth="1" min="18" max="18" width="8.5"/>
  </cols>
  <sheetData>
    <row r="1" ht="12.0" customHeight="1">
      <c r="A1" s="48"/>
      <c r="B1" s="48"/>
      <c r="C1" s="49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105"/>
      <c r="P1" s="50"/>
      <c r="Q1" s="50"/>
      <c r="R1" s="52"/>
    </row>
    <row r="2" ht="12.0" customHeight="1">
      <c r="A2" s="48"/>
      <c r="B2" s="53"/>
      <c r="C2" s="54" t="s">
        <v>45</v>
      </c>
      <c r="D2" s="55" t="s">
        <v>46</v>
      </c>
      <c r="E2" s="55" t="s">
        <v>47</v>
      </c>
      <c r="F2" s="55" t="s">
        <v>48</v>
      </c>
      <c r="G2" s="55" t="s">
        <v>49</v>
      </c>
      <c r="H2" s="55" t="s">
        <v>50</v>
      </c>
      <c r="I2" s="55" t="s">
        <v>51</v>
      </c>
      <c r="J2" s="55" t="s">
        <v>52</v>
      </c>
      <c r="K2" s="55" t="s">
        <v>53</v>
      </c>
      <c r="L2" s="55" t="s">
        <v>54</v>
      </c>
      <c r="M2" s="55" t="s">
        <v>55</v>
      </c>
      <c r="N2" s="55" t="s">
        <v>56</v>
      </c>
      <c r="O2" s="106" t="s">
        <v>57</v>
      </c>
      <c r="P2" s="57" t="s">
        <v>58</v>
      </c>
      <c r="Q2" s="58" t="s">
        <v>20</v>
      </c>
      <c r="R2" s="59" t="s">
        <v>21</v>
      </c>
    </row>
    <row r="3" ht="14.25" customHeight="1">
      <c r="A3" s="86"/>
      <c r="B3" s="93" t="s">
        <v>75</v>
      </c>
      <c r="C3" s="62">
        <v>7.0</v>
      </c>
      <c r="D3" s="63">
        <v>8.0</v>
      </c>
      <c r="E3" s="63">
        <v>14.0</v>
      </c>
      <c r="F3" s="63">
        <v>5.0</v>
      </c>
      <c r="G3" s="63">
        <v>10.0</v>
      </c>
      <c r="H3" s="63">
        <v>20.0</v>
      </c>
      <c r="I3" s="63">
        <v>13.0</v>
      </c>
      <c r="J3" s="63">
        <v>24.0</v>
      </c>
      <c r="K3" s="63">
        <v>6.0</v>
      </c>
      <c r="L3" s="63">
        <v>14.0</v>
      </c>
      <c r="M3" s="63">
        <v>5.0</v>
      </c>
      <c r="N3" s="63">
        <v>14.0</v>
      </c>
      <c r="O3" s="63">
        <v>15.0</v>
      </c>
      <c r="P3" s="64">
        <v>16.0</v>
      </c>
      <c r="Q3" s="65">
        <f t="shared" ref="Q3:Q14" si="1">SUM(C3:P3)</f>
        <v>171</v>
      </c>
      <c r="R3" s="66">
        <f>Q3/$Q$16</f>
        <v>0.04808773903</v>
      </c>
    </row>
    <row r="4" ht="14.25" customHeight="1">
      <c r="A4" s="86"/>
      <c r="B4" s="95" t="s">
        <v>76</v>
      </c>
      <c r="C4" s="68">
        <v>20.0</v>
      </c>
      <c r="D4" s="69">
        <v>35.0</v>
      </c>
      <c r="E4" s="69">
        <v>31.0</v>
      </c>
      <c r="F4" s="69">
        <v>18.0</v>
      </c>
      <c r="G4" s="69">
        <v>37.0</v>
      </c>
      <c r="H4" s="69">
        <v>5.0</v>
      </c>
      <c r="I4" s="69">
        <v>38.0</v>
      </c>
      <c r="J4" s="69">
        <v>31.0</v>
      </c>
      <c r="K4" s="69">
        <v>21.0</v>
      </c>
      <c r="L4" s="69">
        <v>38.0</v>
      </c>
      <c r="M4" s="69">
        <v>30.0</v>
      </c>
      <c r="N4" s="69">
        <v>81.0</v>
      </c>
      <c r="O4" s="69">
        <v>48.0</v>
      </c>
      <c r="P4" s="70">
        <v>25.0</v>
      </c>
      <c r="Q4" s="71">
        <f t="shared" si="1"/>
        <v>458</v>
      </c>
      <c r="R4" s="72">
        <f t="shared" ref="R4:R14" si="2">Q4/3556</f>
        <v>0.1287964004</v>
      </c>
    </row>
    <row r="5" ht="14.25" customHeight="1">
      <c r="A5" s="86"/>
      <c r="B5" s="95" t="s">
        <v>77</v>
      </c>
      <c r="C5" s="68">
        <v>5.0</v>
      </c>
      <c r="D5" s="69">
        <v>14.0</v>
      </c>
      <c r="E5" s="69">
        <v>11.0</v>
      </c>
      <c r="F5" s="69">
        <v>4.0</v>
      </c>
      <c r="G5" s="69">
        <v>5.0</v>
      </c>
      <c r="H5" s="69">
        <v>5.0</v>
      </c>
      <c r="I5" s="69">
        <v>3.0</v>
      </c>
      <c r="J5" s="69">
        <v>2.0</v>
      </c>
      <c r="K5" s="69">
        <v>6.0</v>
      </c>
      <c r="L5" s="69">
        <v>4.0</v>
      </c>
      <c r="M5" s="69">
        <v>3.0</v>
      </c>
      <c r="N5" s="69">
        <v>9.0</v>
      </c>
      <c r="O5" s="69">
        <v>9.0</v>
      </c>
      <c r="P5" s="70">
        <v>6.0</v>
      </c>
      <c r="Q5" s="71">
        <f t="shared" si="1"/>
        <v>86</v>
      </c>
      <c r="R5" s="72">
        <f t="shared" si="2"/>
        <v>0.02418447694</v>
      </c>
    </row>
    <row r="6" ht="14.25" customHeight="1">
      <c r="A6" s="86"/>
      <c r="B6" s="95" t="s">
        <v>78</v>
      </c>
      <c r="C6" s="68">
        <v>6.0</v>
      </c>
      <c r="D6" s="69">
        <v>12.0</v>
      </c>
      <c r="E6" s="69">
        <v>10.0</v>
      </c>
      <c r="F6" s="69">
        <v>5.0</v>
      </c>
      <c r="G6" s="69">
        <v>4.0</v>
      </c>
      <c r="H6" s="69">
        <v>8.0</v>
      </c>
      <c r="I6" s="69">
        <v>10.0</v>
      </c>
      <c r="J6" s="69">
        <v>10.0</v>
      </c>
      <c r="K6" s="69">
        <v>12.0</v>
      </c>
      <c r="L6" s="69">
        <v>18.0</v>
      </c>
      <c r="M6" s="69">
        <v>2.0</v>
      </c>
      <c r="N6" s="69">
        <v>9.0</v>
      </c>
      <c r="O6" s="69">
        <v>9.0</v>
      </c>
      <c r="P6" s="70">
        <v>12.0</v>
      </c>
      <c r="Q6" s="71">
        <f t="shared" si="1"/>
        <v>127</v>
      </c>
      <c r="R6" s="72">
        <f t="shared" si="2"/>
        <v>0.03571428571</v>
      </c>
    </row>
    <row r="7" ht="14.25" customHeight="1">
      <c r="A7" s="86"/>
      <c r="B7" s="95" t="s">
        <v>79</v>
      </c>
      <c r="C7" s="68">
        <v>52.0</v>
      </c>
      <c r="D7" s="69">
        <v>76.0</v>
      </c>
      <c r="E7" s="69">
        <v>40.0</v>
      </c>
      <c r="F7" s="69">
        <v>38.0</v>
      </c>
      <c r="G7" s="69">
        <v>47.0</v>
      </c>
      <c r="H7" s="69">
        <v>9.0</v>
      </c>
      <c r="I7" s="69">
        <v>33.0</v>
      </c>
      <c r="J7" s="69">
        <v>30.0</v>
      </c>
      <c r="K7" s="69">
        <v>50.0</v>
      </c>
      <c r="L7" s="69">
        <v>26.0</v>
      </c>
      <c r="M7" s="69">
        <v>27.0</v>
      </c>
      <c r="N7" s="69">
        <v>55.0</v>
      </c>
      <c r="O7" s="69">
        <v>29.0</v>
      </c>
      <c r="P7" s="70">
        <v>35.0</v>
      </c>
      <c r="Q7" s="71">
        <f t="shared" si="1"/>
        <v>547</v>
      </c>
      <c r="R7" s="72">
        <f t="shared" si="2"/>
        <v>0.1538245219</v>
      </c>
    </row>
    <row r="8" ht="14.25" customHeight="1">
      <c r="A8" s="86"/>
      <c r="B8" s="95" t="s">
        <v>80</v>
      </c>
      <c r="C8" s="68">
        <v>19.0</v>
      </c>
      <c r="D8" s="69">
        <v>24.0</v>
      </c>
      <c r="E8" s="69">
        <v>21.0</v>
      </c>
      <c r="F8" s="69">
        <v>18.0</v>
      </c>
      <c r="G8" s="69">
        <v>14.0</v>
      </c>
      <c r="H8" s="69">
        <v>10.0</v>
      </c>
      <c r="I8" s="69">
        <v>16.0</v>
      </c>
      <c r="J8" s="69">
        <v>16.0</v>
      </c>
      <c r="K8" s="69">
        <v>13.0</v>
      </c>
      <c r="L8" s="69">
        <v>22.0</v>
      </c>
      <c r="M8" s="69">
        <v>12.0</v>
      </c>
      <c r="N8" s="69">
        <v>30.0</v>
      </c>
      <c r="O8" s="69">
        <v>24.0</v>
      </c>
      <c r="P8" s="70">
        <v>18.0</v>
      </c>
      <c r="Q8" s="71">
        <f t="shared" si="1"/>
        <v>257</v>
      </c>
      <c r="R8" s="72">
        <f t="shared" si="2"/>
        <v>0.07227221597</v>
      </c>
    </row>
    <row r="9" ht="14.25" customHeight="1">
      <c r="A9" s="86"/>
      <c r="B9" s="95" t="s">
        <v>81</v>
      </c>
      <c r="C9" s="68">
        <v>2.0</v>
      </c>
      <c r="D9" s="69">
        <v>16.0</v>
      </c>
      <c r="E9" s="69">
        <v>6.0</v>
      </c>
      <c r="F9" s="69">
        <v>6.0</v>
      </c>
      <c r="G9" s="69">
        <v>14.0</v>
      </c>
      <c r="H9" s="69">
        <v>6.0</v>
      </c>
      <c r="I9" s="69">
        <v>11.0</v>
      </c>
      <c r="J9" s="69">
        <v>8.0</v>
      </c>
      <c r="K9" s="69">
        <v>2.0</v>
      </c>
      <c r="L9" s="69">
        <v>15.0</v>
      </c>
      <c r="M9" s="69">
        <v>5.0</v>
      </c>
      <c r="N9" s="69">
        <v>21.0</v>
      </c>
      <c r="O9" s="69">
        <v>12.0</v>
      </c>
      <c r="P9" s="70">
        <v>7.0</v>
      </c>
      <c r="Q9" s="71">
        <f t="shared" si="1"/>
        <v>131</v>
      </c>
      <c r="R9" s="72">
        <f t="shared" si="2"/>
        <v>0.03683914511</v>
      </c>
    </row>
    <row r="10" ht="14.25" customHeight="1">
      <c r="A10" s="86"/>
      <c r="B10" s="95" t="s">
        <v>82</v>
      </c>
      <c r="C10" s="68">
        <v>21.0</v>
      </c>
      <c r="D10" s="69">
        <v>34.0</v>
      </c>
      <c r="E10" s="69">
        <v>31.0</v>
      </c>
      <c r="F10" s="69">
        <v>27.0</v>
      </c>
      <c r="G10" s="69">
        <v>52.0</v>
      </c>
      <c r="H10" s="69">
        <v>25.0</v>
      </c>
      <c r="I10" s="69">
        <v>33.0</v>
      </c>
      <c r="J10" s="69">
        <v>21.0</v>
      </c>
      <c r="K10" s="69">
        <v>40.0</v>
      </c>
      <c r="L10" s="69">
        <v>32.0</v>
      </c>
      <c r="M10" s="69">
        <v>30.0</v>
      </c>
      <c r="N10" s="69">
        <v>94.0</v>
      </c>
      <c r="O10" s="69">
        <v>51.0</v>
      </c>
      <c r="P10" s="70">
        <v>38.0</v>
      </c>
      <c r="Q10" s="71">
        <f t="shared" si="1"/>
        <v>529</v>
      </c>
      <c r="R10" s="72">
        <f t="shared" si="2"/>
        <v>0.1487626547</v>
      </c>
    </row>
    <row r="11" ht="14.25" customHeight="1">
      <c r="A11" s="86"/>
      <c r="B11" s="95" t="s">
        <v>83</v>
      </c>
      <c r="C11" s="68">
        <v>5.0</v>
      </c>
      <c r="D11" s="69">
        <v>11.0</v>
      </c>
      <c r="E11" s="69">
        <v>10.0</v>
      </c>
      <c r="F11" s="69">
        <v>14.0</v>
      </c>
      <c r="G11" s="69">
        <v>25.0</v>
      </c>
      <c r="H11" s="69">
        <v>12.0</v>
      </c>
      <c r="I11" s="69">
        <v>22.0</v>
      </c>
      <c r="J11" s="69">
        <v>8.0</v>
      </c>
      <c r="K11" s="69">
        <v>14.0</v>
      </c>
      <c r="L11" s="69">
        <v>23.0</v>
      </c>
      <c r="M11" s="69">
        <v>15.0</v>
      </c>
      <c r="N11" s="69">
        <v>37.0</v>
      </c>
      <c r="O11" s="69">
        <v>30.0</v>
      </c>
      <c r="P11" s="70">
        <v>21.0</v>
      </c>
      <c r="Q11" s="71">
        <f t="shared" si="1"/>
        <v>247</v>
      </c>
      <c r="R11" s="72">
        <f t="shared" si="2"/>
        <v>0.06946006749</v>
      </c>
    </row>
    <row r="12" ht="14.25" customHeight="1">
      <c r="A12" s="86"/>
      <c r="B12" s="95" t="s">
        <v>84</v>
      </c>
      <c r="C12" s="68">
        <v>14.0</v>
      </c>
      <c r="D12" s="69">
        <v>32.0</v>
      </c>
      <c r="E12" s="69">
        <v>22.0</v>
      </c>
      <c r="F12" s="69">
        <v>9.0</v>
      </c>
      <c r="G12" s="69">
        <v>26.0</v>
      </c>
      <c r="H12" s="69">
        <v>6.0</v>
      </c>
      <c r="I12" s="69">
        <v>15.0</v>
      </c>
      <c r="J12" s="69">
        <v>17.0</v>
      </c>
      <c r="K12" s="69">
        <v>15.0</v>
      </c>
      <c r="L12" s="69">
        <v>29.0</v>
      </c>
      <c r="M12" s="69">
        <v>12.0</v>
      </c>
      <c r="N12" s="69">
        <v>35.0</v>
      </c>
      <c r="O12" s="69">
        <v>19.0</v>
      </c>
      <c r="P12" s="70">
        <v>14.0</v>
      </c>
      <c r="Q12" s="71">
        <f t="shared" si="1"/>
        <v>265</v>
      </c>
      <c r="R12" s="72">
        <f t="shared" si="2"/>
        <v>0.07452193476</v>
      </c>
    </row>
    <row r="13" ht="14.25" customHeight="1">
      <c r="A13" s="86"/>
      <c r="B13" s="95" t="s">
        <v>85</v>
      </c>
      <c r="C13" s="68">
        <v>29.0</v>
      </c>
      <c r="D13" s="69">
        <v>92.0</v>
      </c>
      <c r="E13" s="69">
        <v>23.0</v>
      </c>
      <c r="F13" s="69">
        <v>20.0</v>
      </c>
      <c r="G13" s="69">
        <v>23.0</v>
      </c>
      <c r="H13" s="69">
        <v>14.0</v>
      </c>
      <c r="I13" s="69">
        <v>21.0</v>
      </c>
      <c r="J13" s="69">
        <v>28.0</v>
      </c>
      <c r="K13" s="69">
        <v>30.0</v>
      </c>
      <c r="L13" s="69">
        <v>24.0</v>
      </c>
      <c r="M13" s="69">
        <v>29.0</v>
      </c>
      <c r="N13" s="69">
        <v>52.0</v>
      </c>
      <c r="O13" s="69">
        <v>24.0</v>
      </c>
      <c r="P13" s="70">
        <v>20.0</v>
      </c>
      <c r="Q13" s="71">
        <f t="shared" si="1"/>
        <v>429</v>
      </c>
      <c r="R13" s="72">
        <f t="shared" si="2"/>
        <v>0.1206411699</v>
      </c>
    </row>
    <row r="14" ht="14.25" customHeight="1">
      <c r="A14" s="86"/>
      <c r="B14" s="107" t="s">
        <v>86</v>
      </c>
      <c r="C14" s="74">
        <v>38.0</v>
      </c>
      <c r="D14" s="75">
        <v>43.0</v>
      </c>
      <c r="E14" s="75">
        <v>18.0</v>
      </c>
      <c r="F14" s="75">
        <v>11.0</v>
      </c>
      <c r="G14" s="75">
        <v>17.0</v>
      </c>
      <c r="H14" s="75">
        <v>14.0</v>
      </c>
      <c r="I14" s="75">
        <v>18.0</v>
      </c>
      <c r="J14" s="75">
        <v>27.0</v>
      </c>
      <c r="K14" s="75">
        <v>15.0</v>
      </c>
      <c r="L14" s="75">
        <v>26.0</v>
      </c>
      <c r="M14" s="75">
        <v>10.0</v>
      </c>
      <c r="N14" s="75">
        <v>27.0</v>
      </c>
      <c r="O14" s="75">
        <v>21.0</v>
      </c>
      <c r="P14" s="76">
        <v>24.0</v>
      </c>
      <c r="Q14" s="77">
        <f t="shared" si="1"/>
        <v>309</v>
      </c>
      <c r="R14" s="78">
        <f t="shared" si="2"/>
        <v>0.08689538808</v>
      </c>
    </row>
    <row r="15" ht="14.25" customHeight="1">
      <c r="A15" s="79"/>
      <c r="B15" s="80" t="s">
        <v>26</v>
      </c>
      <c r="C15" s="81">
        <f t="shared" ref="C15:P15" si="3">C16/3556</f>
        <v>0.0613048369</v>
      </c>
      <c r="D15" s="82">
        <f t="shared" si="3"/>
        <v>0.1116422947</v>
      </c>
      <c r="E15" s="82">
        <f t="shared" si="3"/>
        <v>0.06664791901</v>
      </c>
      <c r="F15" s="82">
        <f t="shared" si="3"/>
        <v>0.04921259843</v>
      </c>
      <c r="G15" s="82">
        <f t="shared" si="3"/>
        <v>0.07705286839</v>
      </c>
      <c r="H15" s="82">
        <f t="shared" si="3"/>
        <v>0.03768278965</v>
      </c>
      <c r="I15" s="82">
        <f t="shared" si="3"/>
        <v>0.06552305962</v>
      </c>
      <c r="J15" s="82">
        <f t="shared" si="3"/>
        <v>0.06242969629</v>
      </c>
      <c r="K15" s="82">
        <f t="shared" si="3"/>
        <v>0.06299212598</v>
      </c>
      <c r="L15" s="82">
        <f t="shared" si="3"/>
        <v>0.07620922385</v>
      </c>
      <c r="M15" s="82">
        <f t="shared" si="3"/>
        <v>0.05061867267</v>
      </c>
      <c r="N15" s="82">
        <f t="shared" si="3"/>
        <v>0.1304836895</v>
      </c>
      <c r="O15" s="82">
        <f t="shared" si="3"/>
        <v>0.08183352081</v>
      </c>
      <c r="P15" s="83">
        <f t="shared" si="3"/>
        <v>0.06636670416</v>
      </c>
      <c r="Q15" s="84"/>
      <c r="R15" s="85"/>
    </row>
    <row r="16" ht="14.25" customHeight="1">
      <c r="A16" s="86"/>
      <c r="B16" s="87" t="s">
        <v>20</v>
      </c>
      <c r="C16" s="88">
        <f t="shared" ref="C16:P16" si="4">SUM(C3:C14)</f>
        <v>218</v>
      </c>
      <c r="D16" s="89">
        <f t="shared" si="4"/>
        <v>397</v>
      </c>
      <c r="E16" s="89">
        <f t="shared" si="4"/>
        <v>237</v>
      </c>
      <c r="F16" s="89">
        <f t="shared" si="4"/>
        <v>175</v>
      </c>
      <c r="G16" s="89">
        <f t="shared" si="4"/>
        <v>274</v>
      </c>
      <c r="H16" s="89">
        <f t="shared" si="4"/>
        <v>134</v>
      </c>
      <c r="I16" s="89">
        <f t="shared" si="4"/>
        <v>233</v>
      </c>
      <c r="J16" s="89">
        <f t="shared" si="4"/>
        <v>222</v>
      </c>
      <c r="K16" s="89">
        <f t="shared" si="4"/>
        <v>224</v>
      </c>
      <c r="L16" s="89">
        <f t="shared" si="4"/>
        <v>271</v>
      </c>
      <c r="M16" s="89">
        <f t="shared" si="4"/>
        <v>180</v>
      </c>
      <c r="N16" s="89">
        <f t="shared" si="4"/>
        <v>464</v>
      </c>
      <c r="O16" s="89">
        <f t="shared" si="4"/>
        <v>291</v>
      </c>
      <c r="P16" s="90">
        <f t="shared" si="4"/>
        <v>236</v>
      </c>
      <c r="Q16" s="91">
        <f>SUM(C3:P14)</f>
        <v>3556</v>
      </c>
      <c r="R16" s="92">
        <f>SUM(R3:R15)</f>
        <v>1</v>
      </c>
    </row>
    <row r="17" ht="14.25" customHeight="1">
      <c r="A17" s="86"/>
      <c r="B17" s="93" t="s">
        <v>11</v>
      </c>
      <c r="C17" s="62">
        <v>5.0</v>
      </c>
      <c r="D17" s="63">
        <v>2.0</v>
      </c>
      <c r="E17" s="63">
        <v>2.0</v>
      </c>
      <c r="F17" s="63">
        <v>2.0</v>
      </c>
      <c r="G17" s="63">
        <v>2.0</v>
      </c>
      <c r="H17" s="63">
        <v>2.0</v>
      </c>
      <c r="I17" s="63">
        <v>5.0</v>
      </c>
      <c r="J17" s="63">
        <v>0.0</v>
      </c>
      <c r="K17" s="63">
        <v>5.0</v>
      </c>
      <c r="L17" s="63">
        <v>4.0</v>
      </c>
      <c r="M17" s="63">
        <v>5.0</v>
      </c>
      <c r="N17" s="63">
        <v>6.0</v>
      </c>
      <c r="O17" s="63">
        <v>5.0</v>
      </c>
      <c r="P17" s="64">
        <v>8.0</v>
      </c>
      <c r="Q17" s="65">
        <f t="shared" ref="Q17:Q28" si="5">SUM(C17:P17)</f>
        <v>53</v>
      </c>
      <c r="R17" s="94">
        <f t="shared" ref="R17:R28" si="6">Q17/$Q$16</f>
        <v>0.01490438695</v>
      </c>
    </row>
    <row r="18" ht="14.25" customHeight="1">
      <c r="A18" s="86"/>
      <c r="B18" s="95" t="s">
        <v>29</v>
      </c>
      <c r="C18" s="68">
        <v>18.0</v>
      </c>
      <c r="D18" s="69">
        <v>14.0</v>
      </c>
      <c r="E18" s="69">
        <v>6.0</v>
      </c>
      <c r="F18" s="69">
        <v>7.0</v>
      </c>
      <c r="G18" s="69">
        <v>18.0</v>
      </c>
      <c r="H18" s="69">
        <v>9.0</v>
      </c>
      <c r="I18" s="69">
        <v>16.0</v>
      </c>
      <c r="J18" s="69">
        <v>14.0</v>
      </c>
      <c r="K18" s="69">
        <v>20.0</v>
      </c>
      <c r="L18" s="69">
        <v>19.0</v>
      </c>
      <c r="M18" s="69">
        <v>12.0</v>
      </c>
      <c r="N18" s="69">
        <v>37.0</v>
      </c>
      <c r="O18" s="69">
        <v>45.0</v>
      </c>
      <c r="P18" s="70">
        <v>22.0</v>
      </c>
      <c r="Q18" s="71">
        <f t="shared" si="5"/>
        <v>257</v>
      </c>
      <c r="R18" s="94">
        <f t="shared" si="6"/>
        <v>0.07227221597</v>
      </c>
    </row>
    <row r="19" ht="14.25" customHeight="1">
      <c r="A19" s="86"/>
      <c r="B19" s="95" t="s">
        <v>31</v>
      </c>
      <c r="C19" s="68">
        <v>0.0</v>
      </c>
      <c r="D19" s="69">
        <v>4.0</v>
      </c>
      <c r="E19" s="69">
        <v>4.0</v>
      </c>
      <c r="F19" s="69">
        <v>2.0</v>
      </c>
      <c r="G19" s="69">
        <v>1.0</v>
      </c>
      <c r="H19" s="69">
        <v>11.0</v>
      </c>
      <c r="I19" s="69">
        <v>11.0</v>
      </c>
      <c r="J19" s="69">
        <v>4.0</v>
      </c>
      <c r="K19" s="69">
        <v>7.0</v>
      </c>
      <c r="L19" s="69">
        <v>11.0</v>
      </c>
      <c r="M19" s="69">
        <v>11.0</v>
      </c>
      <c r="N19" s="69">
        <v>29.0</v>
      </c>
      <c r="O19" s="69">
        <v>25.0</v>
      </c>
      <c r="P19" s="70">
        <v>29.0</v>
      </c>
      <c r="Q19" s="71">
        <f t="shared" si="5"/>
        <v>149</v>
      </c>
      <c r="R19" s="94">
        <f t="shared" si="6"/>
        <v>0.04190101237</v>
      </c>
    </row>
    <row r="20" ht="14.25" customHeight="1">
      <c r="A20" s="86"/>
      <c r="B20" s="95" t="s">
        <v>71</v>
      </c>
      <c r="C20" s="68">
        <v>19.0</v>
      </c>
      <c r="D20" s="69">
        <v>19.0</v>
      </c>
      <c r="E20" s="69">
        <v>42.0</v>
      </c>
      <c r="F20" s="69">
        <v>30.0</v>
      </c>
      <c r="G20" s="69">
        <v>46.0</v>
      </c>
      <c r="H20" s="69">
        <v>13.0</v>
      </c>
      <c r="I20" s="69">
        <v>25.0</v>
      </c>
      <c r="J20" s="69">
        <v>22.0</v>
      </c>
      <c r="K20" s="69">
        <v>38.0</v>
      </c>
      <c r="L20" s="69">
        <v>25.0</v>
      </c>
      <c r="M20" s="69">
        <v>25.0</v>
      </c>
      <c r="N20" s="69">
        <v>27.0</v>
      </c>
      <c r="O20" s="69">
        <v>19.0</v>
      </c>
      <c r="P20" s="70">
        <v>14.0</v>
      </c>
      <c r="Q20" s="71">
        <f t="shared" si="5"/>
        <v>364</v>
      </c>
      <c r="R20" s="94">
        <f t="shared" si="6"/>
        <v>0.1023622047</v>
      </c>
    </row>
    <row r="21" ht="14.25" customHeight="1">
      <c r="A21" s="86"/>
      <c r="B21" s="95" t="s">
        <v>14</v>
      </c>
      <c r="C21" s="68">
        <v>6.0</v>
      </c>
      <c r="D21" s="69">
        <v>16.0</v>
      </c>
      <c r="E21" s="69">
        <v>4.0</v>
      </c>
      <c r="F21" s="69">
        <v>13.0</v>
      </c>
      <c r="G21" s="69">
        <v>30.0</v>
      </c>
      <c r="H21" s="69">
        <v>11.0</v>
      </c>
      <c r="I21" s="69">
        <v>9.0</v>
      </c>
      <c r="J21" s="69">
        <v>22.0</v>
      </c>
      <c r="K21" s="69">
        <v>25.0</v>
      </c>
      <c r="L21" s="69">
        <v>8.0</v>
      </c>
      <c r="M21" s="69">
        <v>9.0</v>
      </c>
      <c r="N21" s="69">
        <v>18.0</v>
      </c>
      <c r="O21" s="69">
        <v>12.0</v>
      </c>
      <c r="P21" s="70">
        <v>6.0</v>
      </c>
      <c r="Q21" s="71">
        <f t="shared" si="5"/>
        <v>189</v>
      </c>
      <c r="R21" s="94">
        <f t="shared" si="6"/>
        <v>0.0531496063</v>
      </c>
    </row>
    <row r="22" ht="14.25" customHeight="1">
      <c r="A22" s="86"/>
      <c r="B22" s="95" t="s">
        <v>9</v>
      </c>
      <c r="C22" s="68">
        <v>25.0</v>
      </c>
      <c r="D22" s="69">
        <v>36.0</v>
      </c>
      <c r="E22" s="69">
        <v>25.0</v>
      </c>
      <c r="F22" s="69">
        <v>27.0</v>
      </c>
      <c r="G22" s="69">
        <v>18.0</v>
      </c>
      <c r="H22" s="69">
        <v>18.0</v>
      </c>
      <c r="I22" s="69">
        <v>21.0</v>
      </c>
      <c r="J22" s="69">
        <v>26.0</v>
      </c>
      <c r="K22" s="69">
        <v>34.0</v>
      </c>
      <c r="L22" s="69">
        <v>45.0</v>
      </c>
      <c r="M22" s="69">
        <v>30.0</v>
      </c>
      <c r="N22" s="69">
        <v>70.0</v>
      </c>
      <c r="O22" s="69">
        <v>36.0</v>
      </c>
      <c r="P22" s="70">
        <v>36.0</v>
      </c>
      <c r="Q22" s="71">
        <f t="shared" si="5"/>
        <v>447</v>
      </c>
      <c r="R22" s="94">
        <f t="shared" si="6"/>
        <v>0.1257030371</v>
      </c>
    </row>
    <row r="23" ht="14.25" customHeight="1">
      <c r="A23" s="86"/>
      <c r="B23" s="95" t="s">
        <v>72</v>
      </c>
      <c r="C23" s="96">
        <f t="shared" ref="C23:P23" si="7">C16-C22</f>
        <v>193</v>
      </c>
      <c r="D23" s="97">
        <f t="shared" si="7"/>
        <v>361</v>
      </c>
      <c r="E23" s="97">
        <f t="shared" si="7"/>
        <v>212</v>
      </c>
      <c r="F23" s="97">
        <f t="shared" si="7"/>
        <v>148</v>
      </c>
      <c r="G23" s="97">
        <f t="shared" si="7"/>
        <v>256</v>
      </c>
      <c r="H23" s="97">
        <f t="shared" si="7"/>
        <v>116</v>
      </c>
      <c r="I23" s="97">
        <f t="shared" si="7"/>
        <v>212</v>
      </c>
      <c r="J23" s="97">
        <f t="shared" si="7"/>
        <v>196</v>
      </c>
      <c r="K23" s="97">
        <f t="shared" si="7"/>
        <v>190</v>
      </c>
      <c r="L23" s="97">
        <f t="shared" si="7"/>
        <v>226</v>
      </c>
      <c r="M23" s="97">
        <f t="shared" si="7"/>
        <v>150</v>
      </c>
      <c r="N23" s="97">
        <f t="shared" si="7"/>
        <v>394</v>
      </c>
      <c r="O23" s="97">
        <f t="shared" si="7"/>
        <v>255</v>
      </c>
      <c r="P23" s="98">
        <f t="shared" si="7"/>
        <v>200</v>
      </c>
      <c r="Q23" s="71">
        <f t="shared" si="5"/>
        <v>3109</v>
      </c>
      <c r="R23" s="94">
        <f t="shared" si="6"/>
        <v>0.8742969629</v>
      </c>
    </row>
    <row r="24" ht="14.25" customHeight="1">
      <c r="A24" s="86"/>
      <c r="B24" s="95" t="s">
        <v>35</v>
      </c>
      <c r="C24" s="68">
        <v>0.0</v>
      </c>
      <c r="D24" s="69">
        <v>0.0</v>
      </c>
      <c r="E24" s="69">
        <v>0.0</v>
      </c>
      <c r="F24" s="69">
        <v>0.0</v>
      </c>
      <c r="G24" s="69">
        <v>1.0</v>
      </c>
      <c r="H24" s="69">
        <v>0.0</v>
      </c>
      <c r="I24" s="69">
        <v>1.0</v>
      </c>
      <c r="J24" s="69">
        <v>0.0</v>
      </c>
      <c r="K24" s="69">
        <v>0.0</v>
      </c>
      <c r="L24" s="69">
        <v>1.0</v>
      </c>
      <c r="M24" s="69">
        <v>0.0</v>
      </c>
      <c r="N24" s="69">
        <v>0.0</v>
      </c>
      <c r="O24" s="69">
        <v>0.0</v>
      </c>
      <c r="P24" s="70">
        <v>0.0</v>
      </c>
      <c r="Q24" s="71">
        <f t="shared" si="5"/>
        <v>3</v>
      </c>
      <c r="R24" s="94">
        <f t="shared" si="6"/>
        <v>0.0008436445444</v>
      </c>
    </row>
    <row r="25" ht="14.25" customHeight="1">
      <c r="A25" s="86"/>
      <c r="B25" s="95" t="s">
        <v>36</v>
      </c>
      <c r="C25" s="68">
        <v>0.0</v>
      </c>
      <c r="D25" s="69">
        <v>0.0</v>
      </c>
      <c r="E25" s="69">
        <v>0.0</v>
      </c>
      <c r="F25" s="69">
        <v>0.0</v>
      </c>
      <c r="G25" s="69">
        <v>0.0</v>
      </c>
      <c r="H25" s="69">
        <v>0.0</v>
      </c>
      <c r="I25" s="69">
        <v>1.0</v>
      </c>
      <c r="J25" s="69">
        <v>0.0</v>
      </c>
      <c r="K25" s="69">
        <v>0.0</v>
      </c>
      <c r="L25" s="69">
        <v>0.0</v>
      </c>
      <c r="M25" s="69">
        <v>0.0</v>
      </c>
      <c r="N25" s="69">
        <v>0.0</v>
      </c>
      <c r="O25" s="69">
        <v>0.0</v>
      </c>
      <c r="P25" s="70">
        <v>0.0</v>
      </c>
      <c r="Q25" s="71">
        <f t="shared" si="5"/>
        <v>1</v>
      </c>
      <c r="R25" s="94">
        <f t="shared" si="6"/>
        <v>0.0002812148481</v>
      </c>
    </row>
    <row r="26" ht="14.25" customHeight="1">
      <c r="A26" s="86"/>
      <c r="B26" s="95" t="s">
        <v>37</v>
      </c>
      <c r="C26" s="68">
        <v>0.0</v>
      </c>
      <c r="D26" s="69">
        <v>0.0</v>
      </c>
      <c r="E26" s="69">
        <v>0.0</v>
      </c>
      <c r="F26" s="69">
        <v>0.0</v>
      </c>
      <c r="G26" s="69">
        <v>0.0</v>
      </c>
      <c r="H26" s="69">
        <v>0.0</v>
      </c>
      <c r="I26" s="69">
        <v>0.0</v>
      </c>
      <c r="J26" s="69">
        <v>0.0</v>
      </c>
      <c r="K26" s="69">
        <v>0.0</v>
      </c>
      <c r="L26" s="69">
        <v>0.0</v>
      </c>
      <c r="M26" s="69">
        <v>0.0</v>
      </c>
      <c r="N26" s="69">
        <v>0.0</v>
      </c>
      <c r="O26" s="69">
        <v>0.0</v>
      </c>
      <c r="P26" s="70">
        <v>0.0</v>
      </c>
      <c r="Q26" s="71">
        <f t="shared" si="5"/>
        <v>0</v>
      </c>
      <c r="R26" s="94">
        <f t="shared" si="6"/>
        <v>0</v>
      </c>
    </row>
    <row r="27" ht="14.25" customHeight="1">
      <c r="A27" s="86"/>
      <c r="B27" s="95" t="s">
        <v>38</v>
      </c>
      <c r="C27" s="68">
        <v>0.0</v>
      </c>
      <c r="D27" s="69">
        <v>0.0</v>
      </c>
      <c r="E27" s="69">
        <v>0.0</v>
      </c>
      <c r="F27" s="69">
        <v>0.0</v>
      </c>
      <c r="G27" s="69">
        <v>0.0</v>
      </c>
      <c r="H27" s="69">
        <v>0.0</v>
      </c>
      <c r="I27" s="69">
        <v>0.0</v>
      </c>
      <c r="J27" s="69">
        <v>0.0</v>
      </c>
      <c r="K27" s="69">
        <v>0.0</v>
      </c>
      <c r="L27" s="69">
        <v>0.0</v>
      </c>
      <c r="M27" s="69">
        <v>0.0</v>
      </c>
      <c r="N27" s="69">
        <v>0.0</v>
      </c>
      <c r="O27" s="69">
        <v>0.0</v>
      </c>
      <c r="P27" s="70">
        <v>0.0</v>
      </c>
      <c r="Q27" s="71">
        <f t="shared" si="5"/>
        <v>0</v>
      </c>
      <c r="R27" s="94">
        <f t="shared" si="6"/>
        <v>0</v>
      </c>
    </row>
    <row r="28" ht="14.25" customHeight="1">
      <c r="A28" s="86"/>
      <c r="B28" s="107" t="s">
        <v>74</v>
      </c>
      <c r="C28" s="68">
        <v>2.0</v>
      </c>
      <c r="D28" s="69">
        <v>26.0</v>
      </c>
      <c r="E28" s="69">
        <v>0.0</v>
      </c>
      <c r="F28" s="69">
        <v>0.0</v>
      </c>
      <c r="G28" s="69">
        <v>0.0</v>
      </c>
      <c r="H28" s="69">
        <v>0.0</v>
      </c>
      <c r="I28" s="69">
        <v>3.0</v>
      </c>
      <c r="J28" s="69">
        <v>2.0</v>
      </c>
      <c r="K28" s="69">
        <v>0.0</v>
      </c>
      <c r="L28" s="69">
        <v>0.0</v>
      </c>
      <c r="M28" s="69">
        <v>0.0</v>
      </c>
      <c r="N28" s="69">
        <v>0.0</v>
      </c>
      <c r="O28" s="69">
        <v>0.0</v>
      </c>
      <c r="P28" s="70">
        <v>0.0</v>
      </c>
      <c r="Q28" s="77">
        <f t="shared" si="5"/>
        <v>33</v>
      </c>
      <c r="R28" s="94">
        <f t="shared" si="6"/>
        <v>0.009280089989</v>
      </c>
    </row>
    <row r="29" ht="14.25" customHeight="1">
      <c r="A29" s="79"/>
      <c r="B29" s="108" t="s">
        <v>87</v>
      </c>
      <c r="C29" s="103">
        <f t="shared" ref="C29:P29" si="8">C17/C16</f>
        <v>0.02293577982</v>
      </c>
      <c r="D29" s="103">
        <f t="shared" si="8"/>
        <v>0.005037783375</v>
      </c>
      <c r="E29" s="103">
        <f t="shared" si="8"/>
        <v>0.008438818565</v>
      </c>
      <c r="F29" s="103">
        <f t="shared" si="8"/>
        <v>0.01142857143</v>
      </c>
      <c r="G29" s="103">
        <f t="shared" si="8"/>
        <v>0.007299270073</v>
      </c>
      <c r="H29" s="103">
        <f t="shared" si="8"/>
        <v>0.01492537313</v>
      </c>
      <c r="I29" s="103">
        <f t="shared" si="8"/>
        <v>0.02145922747</v>
      </c>
      <c r="J29" s="103">
        <f t="shared" si="8"/>
        <v>0</v>
      </c>
      <c r="K29" s="103">
        <f t="shared" si="8"/>
        <v>0.02232142857</v>
      </c>
      <c r="L29" s="103">
        <f t="shared" si="8"/>
        <v>0.0147601476</v>
      </c>
      <c r="M29" s="103">
        <f t="shared" si="8"/>
        <v>0.02777777778</v>
      </c>
      <c r="N29" s="103">
        <f t="shared" si="8"/>
        <v>0.01293103448</v>
      </c>
      <c r="O29" s="103">
        <f t="shared" si="8"/>
        <v>0.01718213058</v>
      </c>
      <c r="P29" s="103">
        <f t="shared" si="8"/>
        <v>0.03389830508</v>
      </c>
      <c r="Q29" s="109"/>
      <c r="R29" s="10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110" t="s">
        <v>88</v>
      </c>
      <c r="B1" s="111"/>
      <c r="C1" s="112"/>
      <c r="D1" s="113"/>
      <c r="E1" s="114" t="str">
        <f>UPPER(CONFFLUXO!A3)</f>
        <v>ÁGUA FRIA</v>
      </c>
      <c r="F1" s="111"/>
      <c r="G1" s="112"/>
      <c r="H1" s="115"/>
      <c r="I1" s="115"/>
      <c r="J1" s="115"/>
      <c r="K1" s="115"/>
    </row>
    <row r="2" ht="22.5" customHeight="1">
      <c r="A2" s="110" t="s">
        <v>20</v>
      </c>
      <c r="B2" s="111"/>
      <c r="C2" s="112"/>
      <c r="D2" s="113"/>
      <c r="E2" s="116">
        <f>SUM(E3:G3)</f>
        <v>1082</v>
      </c>
      <c r="F2" s="111"/>
      <c r="G2" s="112"/>
      <c r="H2" s="115"/>
      <c r="I2" s="115"/>
      <c r="J2" s="115"/>
      <c r="K2" s="115"/>
    </row>
    <row r="3" ht="22.5" customHeight="1">
      <c r="A3" s="117"/>
      <c r="B3" s="117"/>
      <c r="C3" s="117"/>
      <c r="D3" s="118"/>
      <c r="E3" s="119">
        <f>CONFFLUXO!Q3</f>
        <v>87</v>
      </c>
      <c r="F3" s="119">
        <f>CONFFLUXO!Q4</f>
        <v>931</v>
      </c>
      <c r="G3" s="119">
        <f>CONFFLUXO!Q5</f>
        <v>64</v>
      </c>
      <c r="H3" s="115"/>
      <c r="I3" s="115"/>
      <c r="J3" s="115"/>
      <c r="K3" s="115"/>
    </row>
    <row r="4" ht="25.5" customHeight="1">
      <c r="A4" s="120"/>
      <c r="B4" s="120"/>
      <c r="C4" s="117"/>
      <c r="D4" s="117"/>
      <c r="E4" s="115"/>
      <c r="F4" s="115"/>
      <c r="G4" s="115"/>
      <c r="H4" s="121"/>
      <c r="I4" s="121"/>
      <c r="J4" s="122"/>
      <c r="K4" s="122"/>
    </row>
    <row r="5" ht="71.25" customHeight="1">
      <c r="A5" s="123" t="str">
        <f>UPPER(CONFFLUXO!A12)</f>
        <v>CASA AMARELA</v>
      </c>
      <c r="B5" s="124">
        <f>SUM(C5:C7)</f>
        <v>749</v>
      </c>
      <c r="C5" s="125">
        <f>CONFFLUXO!Q14</f>
        <v>169</v>
      </c>
      <c r="D5" s="117"/>
      <c r="E5" s="115"/>
      <c r="F5" s="115"/>
      <c r="G5" s="115"/>
      <c r="H5" s="121"/>
      <c r="I5" s="126">
        <f>CONFFLUXO!Q6</f>
        <v>65</v>
      </c>
      <c r="J5" s="127">
        <f>SUM(I5:I7)</f>
        <v>622</v>
      </c>
      <c r="K5" s="128" t="str">
        <f>UPPER(CONFFLUXO!A6)</f>
        <v>CAMPO GRANDE</v>
      </c>
    </row>
    <row r="6" ht="71.25" customHeight="1">
      <c r="A6" s="129"/>
      <c r="B6" s="129"/>
      <c r="C6" s="125">
        <f>CONFFLUXO!Q13</f>
        <v>436</v>
      </c>
      <c r="D6" s="117"/>
      <c r="E6" s="115"/>
      <c r="F6" s="130">
        <f>SUM(E3:G3,I5:I7,E9:G9,C5:C7)</f>
        <v>3723</v>
      </c>
      <c r="G6" s="115"/>
      <c r="H6" s="121"/>
      <c r="I6" s="126">
        <f>CONFFLUXO!Q7</f>
        <v>389</v>
      </c>
      <c r="J6" s="129"/>
      <c r="K6" s="129"/>
    </row>
    <row r="7" ht="71.25" customHeight="1">
      <c r="A7" s="131"/>
      <c r="B7" s="131"/>
      <c r="C7" s="125">
        <f>CONFFLUXO!Q12</f>
        <v>144</v>
      </c>
      <c r="D7" s="117"/>
      <c r="E7" s="115"/>
      <c r="F7" s="115"/>
      <c r="G7" s="115"/>
      <c r="H7" s="121"/>
      <c r="I7" s="126">
        <f>CONFFLUXO!Q8</f>
        <v>168</v>
      </c>
      <c r="J7" s="131"/>
      <c r="K7" s="131"/>
    </row>
    <row r="8" ht="27.0" customHeight="1">
      <c r="A8" s="117"/>
      <c r="B8" s="117"/>
      <c r="C8" s="117"/>
      <c r="D8" s="117"/>
      <c r="E8" s="115"/>
      <c r="F8" s="115"/>
      <c r="G8" s="115"/>
      <c r="H8" s="115"/>
      <c r="I8" s="115"/>
      <c r="J8" s="115"/>
      <c r="K8" s="115"/>
    </row>
    <row r="9" ht="22.5" customHeight="1">
      <c r="A9" s="117"/>
      <c r="B9" s="117"/>
      <c r="C9" s="132"/>
      <c r="D9" s="132"/>
      <c r="E9" s="133">
        <f>CONFFLUXO!Q11</f>
        <v>155</v>
      </c>
      <c r="F9" s="133">
        <f>CONFFLUXO!Q10</f>
        <v>1015</v>
      </c>
      <c r="G9" s="133">
        <f>CONFFLUXO!Q9</f>
        <v>100</v>
      </c>
      <c r="H9" s="115"/>
      <c r="I9" s="115"/>
      <c r="J9" s="115"/>
      <c r="K9" s="115"/>
    </row>
    <row r="10" ht="22.5" customHeight="1">
      <c r="A10" s="117"/>
      <c r="B10" s="117"/>
      <c r="C10" s="117"/>
      <c r="D10" s="117"/>
      <c r="E10" s="134">
        <f>SUM(E9:G9)</f>
        <v>1270</v>
      </c>
      <c r="F10" s="111"/>
      <c r="G10" s="112"/>
      <c r="H10" s="115"/>
      <c r="I10" s="115"/>
      <c r="J10" s="115"/>
      <c r="K10" s="115"/>
    </row>
    <row r="11" ht="22.5" customHeight="1">
      <c r="A11" s="117"/>
      <c r="B11" s="117"/>
      <c r="C11" s="117"/>
      <c r="D11" s="117"/>
      <c r="E11" s="114" t="str">
        <f>UPPER(CONFFLUXO!A9)</f>
        <v>ENCRUZILHADA</v>
      </c>
      <c r="F11" s="111"/>
      <c r="G11" s="112"/>
      <c r="H11" s="115"/>
      <c r="I11" s="115"/>
      <c r="J11" s="115"/>
      <c r="K11" s="135">
        <f>MAX(3:3,I:I,9:9,C:C)</f>
        <v>1015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5.13"/>
    <col customWidth="1" min="2" max="15" width="9.75"/>
    <col customWidth="1" min="16" max="21" width="15.13"/>
  </cols>
  <sheetData>
    <row r="1">
      <c r="A1" s="33">
        <v>0.0</v>
      </c>
      <c r="B1">
        <f>Dados!C2</f>
        <v>6</v>
      </c>
      <c r="C1">
        <f>Dados!D2</f>
        <v>7</v>
      </c>
      <c r="D1">
        <f>Dados!E2</f>
        <v>8</v>
      </c>
      <c r="E1">
        <f>Dados!F2</f>
        <v>9</v>
      </c>
      <c r="F1">
        <f>Dados!G2</f>
        <v>10</v>
      </c>
      <c r="G1">
        <f>Dados!H2</f>
        <v>11</v>
      </c>
      <c r="H1">
        <f>Dados!I2</f>
        <v>12</v>
      </c>
      <c r="I1">
        <f>Dados!J2</f>
        <v>13</v>
      </c>
      <c r="J1">
        <f>Dados!K2</f>
        <v>14</v>
      </c>
      <c r="K1">
        <f>Dados!L2</f>
        <v>15</v>
      </c>
      <c r="L1">
        <f>Dados!M2</f>
        <v>16</v>
      </c>
      <c r="M1">
        <f>Dados!N2</f>
        <v>17</v>
      </c>
      <c r="N1">
        <f>Dados!O2</f>
        <v>18</v>
      </c>
      <c r="O1">
        <f>Dados!P2</f>
        <v>19</v>
      </c>
    </row>
    <row r="2">
      <c r="A2" s="136" t="s">
        <v>89</v>
      </c>
      <c r="B2">
        <f>Dados!C15</f>
        <v>342</v>
      </c>
      <c r="C2">
        <f>Dados!D15</f>
        <v>317</v>
      </c>
      <c r="D2">
        <f>Dados!E15</f>
        <v>235</v>
      </c>
      <c r="E2">
        <f>Dados!F15</f>
        <v>186</v>
      </c>
      <c r="F2">
        <f>Dados!G15</f>
        <v>207</v>
      </c>
      <c r="G2">
        <f>Dados!H15</f>
        <v>173</v>
      </c>
      <c r="H2">
        <f>Dados!I15</f>
        <v>218</v>
      </c>
      <c r="I2">
        <f>Dados!J15</f>
        <v>223</v>
      </c>
      <c r="J2">
        <f>Dados!K15</f>
        <v>198</v>
      </c>
      <c r="K2">
        <f>Dados!L15</f>
        <v>362</v>
      </c>
      <c r="L2">
        <f>Dados!M15</f>
        <v>274</v>
      </c>
      <c r="M2">
        <f>Dados!N15</f>
        <v>490</v>
      </c>
      <c r="N2">
        <f>Dados!O15</f>
        <v>295</v>
      </c>
      <c r="O2">
        <f>Dados!P15</f>
        <v>203</v>
      </c>
      <c r="P2">
        <f t="shared" ref="P2:P4" si="1">SUM(B2:O2)</f>
        <v>3723</v>
      </c>
    </row>
    <row r="3">
      <c r="A3" s="136" t="s">
        <v>90</v>
      </c>
      <c r="B3">
        <f>'Rui Barbosa'!C16</f>
        <v>143</v>
      </c>
      <c r="C3">
        <f>'Rui Barbosa'!D16</f>
        <v>222</v>
      </c>
      <c r="D3">
        <f>'Rui Barbosa'!E16</f>
        <v>124</v>
      </c>
      <c r="E3">
        <f>'Rui Barbosa'!F16</f>
        <v>91</v>
      </c>
      <c r="F3">
        <f>'Rui Barbosa'!G16</f>
        <v>77</v>
      </c>
      <c r="G3">
        <f>'Rui Barbosa'!H16</f>
        <v>90</v>
      </c>
      <c r="H3">
        <f>'Rui Barbosa'!I16</f>
        <v>55</v>
      </c>
      <c r="I3">
        <f>'Rui Barbosa'!J16</f>
        <v>57</v>
      </c>
      <c r="J3">
        <f>'Rui Barbosa'!K16</f>
        <v>64</v>
      </c>
      <c r="K3">
        <f>'Rui Barbosa'!L16</f>
        <v>75</v>
      </c>
      <c r="L3">
        <f>'Rui Barbosa'!M16</f>
        <v>94</v>
      </c>
      <c r="M3">
        <f>'Rui Barbosa'!N16</f>
        <v>133</v>
      </c>
      <c r="N3">
        <f>'Rui Barbosa'!O16</f>
        <v>146</v>
      </c>
      <c r="O3">
        <f>'Rui Barbosa'!P16</f>
        <v>60</v>
      </c>
      <c r="P3">
        <f t="shared" si="1"/>
        <v>1431</v>
      </c>
    </row>
    <row r="4">
      <c r="A4" s="136" t="s">
        <v>91</v>
      </c>
      <c r="B4">
        <f>'LAMA-FORTE'!C16</f>
        <v>218</v>
      </c>
      <c r="C4">
        <f>'LAMA-FORTE'!D16</f>
        <v>397</v>
      </c>
      <c r="D4">
        <f>'LAMA-FORTE'!E16</f>
        <v>237</v>
      </c>
      <c r="E4">
        <f>'LAMA-FORTE'!F16</f>
        <v>175</v>
      </c>
      <c r="F4">
        <f>'LAMA-FORTE'!G16</f>
        <v>274</v>
      </c>
      <c r="G4">
        <f>'LAMA-FORTE'!H16</f>
        <v>134</v>
      </c>
      <c r="H4">
        <f>'LAMA-FORTE'!I16</f>
        <v>233</v>
      </c>
      <c r="I4">
        <f>'LAMA-FORTE'!J16</f>
        <v>222</v>
      </c>
      <c r="J4">
        <f>'LAMA-FORTE'!K16</f>
        <v>224</v>
      </c>
      <c r="K4">
        <f>'LAMA-FORTE'!L16</f>
        <v>271</v>
      </c>
      <c r="L4">
        <f>'LAMA-FORTE'!M16</f>
        <v>180</v>
      </c>
      <c r="M4">
        <f>'LAMA-FORTE'!N16</f>
        <v>464</v>
      </c>
      <c r="N4">
        <f>'LAMA-FORTE'!O16</f>
        <v>291</v>
      </c>
      <c r="O4">
        <f>'LAMA-FORTE'!P16</f>
        <v>236</v>
      </c>
      <c r="P4">
        <f t="shared" si="1"/>
        <v>3556</v>
      </c>
    </row>
    <row r="5">
      <c r="A5" s="136" t="s">
        <v>20</v>
      </c>
    </row>
    <row r="7">
      <c r="B7" s="136" t="s">
        <v>89</v>
      </c>
      <c r="C7" s="136" t="s">
        <v>90</v>
      </c>
      <c r="D7" s="136" t="s">
        <v>91</v>
      </c>
    </row>
    <row r="8">
      <c r="A8" t="str">
        <f>Dados!B22</f>
        <v>Capacete</v>
      </c>
      <c r="B8" s="137">
        <f>Dados!R22</f>
        <v>0.01692183723</v>
      </c>
      <c r="C8" s="137">
        <f>'Rui Barbosa'!R17</f>
        <v>0.0929419986</v>
      </c>
      <c r="D8" s="137">
        <f>'LAMA-FORTE'!R17</f>
        <v>0.01490438695</v>
      </c>
    </row>
    <row r="9">
      <c r="A9" t="str">
        <f>Dados!B23</f>
        <v>Carona</v>
      </c>
      <c r="B9" s="137">
        <f>Dados!R23</f>
        <v>0.04458769809</v>
      </c>
      <c r="C9" s="137">
        <f>'Rui Barbosa'!R18</f>
        <v>0.02166317261</v>
      </c>
      <c r="D9" s="137">
        <f>'LAMA-FORTE'!R18</f>
        <v>0.07227221597</v>
      </c>
    </row>
    <row r="10">
      <c r="A10" t="str">
        <f>Dados!B26</f>
        <v>Contramao</v>
      </c>
      <c r="B10" s="137">
        <f>Dados!R26</f>
        <v>0.07843137255</v>
      </c>
      <c r="C10" s="137">
        <f>'Rui Barbosa'!R19</f>
        <v>0.2536687631</v>
      </c>
      <c r="D10" s="137">
        <f>'LAMA-FORTE'!R19</f>
        <v>0.04190101237</v>
      </c>
    </row>
    <row r="11">
      <c r="A11" t="str">
        <f>Dados!B24</f>
        <v>Cargueira</v>
      </c>
      <c r="B11" s="137">
        <f>Dados!R24</f>
        <v>0.09884501746</v>
      </c>
      <c r="C11" s="137">
        <f>'Rui Barbosa'!R20</f>
        <v>0.1467505241</v>
      </c>
      <c r="D11" s="137">
        <f>'LAMA-FORTE'!R20</f>
        <v>0.1023622047</v>
      </c>
    </row>
    <row r="12">
      <c r="A12" t="str">
        <f>Dados!B25</f>
        <v>Serviço</v>
      </c>
      <c r="B12" s="137">
        <f>Dados!R25</f>
        <v>0.03062046737</v>
      </c>
      <c r="C12" s="137">
        <f>'Rui Barbosa'!R21</f>
        <v>0.05031446541</v>
      </c>
      <c r="D12" s="137">
        <f>'LAMA-FORTE'!R21</f>
        <v>0.0531496063</v>
      </c>
    </row>
    <row r="13">
      <c r="A13" t="str">
        <f>Dados!B20</f>
        <v>Mulher</v>
      </c>
      <c r="B13" s="137">
        <f>Dados!R20</f>
        <v>0.05774912705</v>
      </c>
      <c r="C13" s="137">
        <f>'Rui Barbosa'!R22</f>
        <v>0.05310971349</v>
      </c>
      <c r="D13" s="137">
        <f>'LAMA-FORTE'!R22</f>
        <v>0.1257030371</v>
      </c>
    </row>
    <row r="14">
      <c r="A14" t="str">
        <f>Dados!B33</f>
        <v>Triciclo</v>
      </c>
      <c r="B14" s="137">
        <f>Dados!R33</f>
        <v>0.001343002955</v>
      </c>
      <c r="C14" s="137">
        <f>'Rui Barbosa'!R24</f>
        <v>0</v>
      </c>
      <c r="D14" s="137">
        <f>'LAMA-FORTE'!R24</f>
        <v>0.0008436445444</v>
      </c>
    </row>
    <row r="15">
      <c r="A15" t="str">
        <f>Dados!B34</f>
        <v>Eletrica</v>
      </c>
      <c r="B15" s="137">
        <f>Dados!R34</f>
        <v>0</v>
      </c>
      <c r="C15" s="137">
        <f>'Rui Barbosa'!R25</f>
        <v>0</v>
      </c>
      <c r="D15" s="137">
        <f>'LAMA-FORTE'!R25</f>
        <v>0.0002812148481</v>
      </c>
    </row>
    <row r="16">
      <c r="A16" t="str">
        <f>Dados!B36</f>
        <v>Handbike</v>
      </c>
      <c r="B16" s="137">
        <f>Dados!R36</f>
        <v>0</v>
      </c>
      <c r="C16" s="137">
        <f>'Rui Barbosa'!R27</f>
        <v>0.001397624039</v>
      </c>
      <c r="D16" s="137">
        <f>'LAMA-FORTE'!R27</f>
        <v>0</v>
      </c>
    </row>
    <row r="17">
      <c r="A17" t="str">
        <f>Dados!B21</f>
        <v>Crianças e adolescentes</v>
      </c>
      <c r="B17" s="137">
        <f>Dados!R21</f>
        <v>0.003223207091</v>
      </c>
      <c r="C17" s="137">
        <f>'Rui Barbosa'!R28</f>
        <v>0</v>
      </c>
      <c r="D17" s="137">
        <f>'LAMA-FORTE'!R28</f>
        <v>0.009280089989</v>
      </c>
    </row>
  </sheetData>
  <drawing r:id="rId1"/>
</worksheet>
</file>