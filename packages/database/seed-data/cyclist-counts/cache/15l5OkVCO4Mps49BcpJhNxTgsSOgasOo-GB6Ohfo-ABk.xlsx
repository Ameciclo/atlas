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<sst xmlns="http://schemas.openxmlformats.org/spreadsheetml/2006/main" count="107" uniqueCount="62">
  <si>
    <t>Cruzamento</t>
  </si>
  <si>
    <t>Rua Padre Machado x Rua Hermenegildo Lima | Itamaracá</t>
  </si>
  <si>
    <t>Data</t>
  </si>
  <si>
    <t>Coordenadas Geográficas</t>
  </si>
  <si>
    <t>-7.74776,-34.82463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</si>
  <si>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</si>
  <si>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</si>
  <si>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</si>
  <si>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</si>
  <si>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</si>
  <si>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</si>
  <si>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</si>
  <si>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</si>
  <si>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</si>
  <si>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</si>
  <si>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</si>
  <si>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</si>
  <si>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</si>
  <si>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</si>
  <si>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</si>
  <si>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</si>
  <si>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</si>
  <si>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Jaguaribe</t>
  </si>
  <si>
    <t>Biquinha</t>
  </si>
  <si>
    <t>Forte Orange</t>
  </si>
  <si>
    <t>Mar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</si>
  <si>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</si>
  <si>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</si>
  <si>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</si>
  <si>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</si>
  <si>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</si>
  <si>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</si>
  <si>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</si>
  <si>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</si>
  <si>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</si>
  <si>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</si>
  <si>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</si>
  <si>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</si>
  <si>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</si>
  <si>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</si>
  <si>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</si>
  <si>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</si>
  <si>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</si>
  <si>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</si>
  <si>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</si>
  <si>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</si>
  <si>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</si>
  <si>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</si>
  <si>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</si>
  <si>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</si>
  <si>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>ciclofaixa Jaguaribe - Forte Orange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</si>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</sst>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>
      <sz val="12.0"/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7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7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5" fontId="5" numFmtId="0" xfId="0" applyAlignment="1" applyFill="1" applyFont="1">
      <alignment shrinkToFit="0" vertical="bottom" wrapText="1"/>
    </xf>
    <xf borderId="0" fillId="5" fontId="5" numFmtId="0" xfId="0" applyAlignment="1" applyFont="1">
      <alignment horizontal="right" readingOrder="0" shrinkToFit="0" vertical="bottom" wrapText="1"/>
    </xf>
    <xf borderId="0" fillId="5" fontId="8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8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2" fontId="7" numFmtId="0" xfId="0" applyAlignment="1" applyFont="1">
      <alignment shrinkToFit="0" vertical="bottom" wrapText="1"/>
    </xf>
    <xf borderId="0" fillId="2" fontId="7" numFmtId="165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165" xfId="0" applyAlignment="1" applyFont="1" applyNumberFormat="1">
      <alignment shrinkToFit="0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5" fontId="8" numFmtId="0" xfId="0" applyAlignment="1" applyFont="1">
      <alignment shrinkToFit="0" vertical="bottom" wrapText="1"/>
    </xf>
    <xf borderId="0" fillId="5" fontId="5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7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7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horizontal="right" shrinkToFit="0" vertical="bottom" wrapText="1"/>
    </xf>
    <xf borderId="0" fillId="4" fontId="7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566661240"/>
        <c:axId val="1872207795"/>
      </c:barChart>
      <c:catAx>
        <c:axId val="1566661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2207795"/>
      </c:catAx>
      <c:valAx>
        <c:axId val="1872207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6661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774177"/>
        <c:axId val="1139703266"/>
      </c:barChart>
      <c:catAx>
        <c:axId val="774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9703266"/>
      </c:catAx>
      <c:valAx>
        <c:axId val="1139703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4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548978524"/>
        <c:axId val="1166290071"/>
      </c:barChart>
      <c:catAx>
        <c:axId val="5489785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6290071"/>
      </c:catAx>
      <c:valAx>
        <c:axId val="11662900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89785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219075</xdr:colOff>
      <xdr:row>11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46142.0</v>
      </c>
    </row>
    <row r="3">
      <c r="A3" s="4" t="s">
        <v>3</v>
      </c>
      <c r="B3" s="5" t="s">
        <v>4</v>
      </c>
    </row>
    <row r="4">
      <c r="A4" s="4" t="s">
        <v>5</v>
      </c>
      <c r="B4" s="6"/>
    </row>
    <row r="5">
      <c r="A5" s="4" t="s">
        <v>6</v>
      </c>
      <c r="B5" s="7">
        <f>Dados!R15</f>
        <v>1631</v>
      </c>
    </row>
    <row r="6">
      <c r="A6" s="4" t="s">
        <v>7</v>
      </c>
      <c r="B6" s="7">
        <f>MAX(Dados!D15:Q15)</f>
        <v>176</v>
      </c>
    </row>
    <row r="7">
      <c r="A7" s="4" t="s">
        <v>8</v>
      </c>
      <c r="B7" s="8">
        <f>Dados!S20</f>
        <v>0.1771919068</v>
      </c>
    </row>
    <row r="8">
      <c r="A8" s="4" t="s">
        <v>9</v>
      </c>
      <c r="B8" s="8">
        <f>Dados!S21</f>
        <v>0.09196811772</v>
      </c>
    </row>
    <row r="9">
      <c r="A9" s="4" t="s">
        <v>10</v>
      </c>
      <c r="B9" s="8">
        <f>Dados!S22</f>
        <v>0.003065603924</v>
      </c>
    </row>
    <row r="10">
      <c r="A10" s="4" t="s">
        <v>11</v>
      </c>
      <c r="B10" s="8">
        <f>Dados!S51</f>
        <v>0.02513795218</v>
      </c>
    </row>
    <row r="11">
      <c r="A11" s="4" t="s">
        <v>12</v>
      </c>
      <c r="B11" s="8">
        <f>Dados!S52</f>
        <v>0.2348252606</v>
      </c>
    </row>
    <row r="12">
      <c r="A12" s="4" t="s">
        <v>13</v>
      </c>
      <c r="B12" s="8">
        <f>Dados!S53</f>
        <v>0.005518087063</v>
      </c>
    </row>
    <row r="13">
      <c r="A13" s="4" t="s">
        <v>14</v>
      </c>
      <c r="B13" s="8">
        <f>Dados!S54</f>
        <v>0.05518087063</v>
      </c>
    </row>
    <row r="14">
      <c r="A14" s="4" t="s">
        <v>15</v>
      </c>
      <c r="B14" s="8">
        <f>Dados!S32</f>
        <v>0.06499080319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 t="s">
        <v>16</v>
      </c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">
        <v>23</v>
      </c>
      <c r="D3" s="14">
        <v>1.0</v>
      </c>
      <c r="E3" s="14">
        <v>7.0</v>
      </c>
      <c r="F3" s="14">
        <v>14.0</v>
      </c>
      <c r="G3" s="14">
        <v>14.0</v>
      </c>
      <c r="H3" s="14">
        <v>16.0</v>
      </c>
      <c r="I3" s="14">
        <v>15.0</v>
      </c>
      <c r="J3" s="14">
        <v>15.0</v>
      </c>
      <c r="K3" s="14">
        <v>4.0</v>
      </c>
      <c r="L3" s="14">
        <v>13.0</v>
      </c>
      <c r="M3" s="14">
        <v>14.0</v>
      </c>
      <c r="N3" s="14">
        <v>14.0</v>
      </c>
      <c r="O3" s="15">
        <v>22.0</v>
      </c>
      <c r="P3" s="15">
        <v>14.0</v>
      </c>
      <c r="Q3" s="14">
        <v>8.0</v>
      </c>
      <c r="R3" s="16">
        <f t="shared" ref="R3:R14" si="1">SUM(D3:Q3)</f>
        <v>171</v>
      </c>
      <c r="S3" s="17">
        <f t="shared" ref="S3:S14" si="2">R3/$R$15</f>
        <v>0.1048436542</v>
      </c>
    </row>
    <row r="4" ht="14.25" customHeight="1">
      <c r="A4" s="9"/>
      <c r="B4" s="14" t="s">
        <v>22</v>
      </c>
      <c r="C4" s="14" t="s">
        <v>24</v>
      </c>
      <c r="D4" s="14">
        <v>22.0</v>
      </c>
      <c r="E4" s="14">
        <v>30.0</v>
      </c>
      <c r="F4" s="14">
        <v>36.0</v>
      </c>
      <c r="G4" s="14">
        <v>21.0</v>
      </c>
      <c r="H4" s="14">
        <v>26.0</v>
      </c>
      <c r="I4" s="14">
        <v>22.0</v>
      </c>
      <c r="J4" s="14">
        <v>14.0</v>
      </c>
      <c r="K4" s="14">
        <v>19.0</v>
      </c>
      <c r="L4" s="14">
        <v>22.0</v>
      </c>
      <c r="M4" s="14">
        <v>20.0</v>
      </c>
      <c r="N4" s="14">
        <v>20.0</v>
      </c>
      <c r="O4" s="15">
        <v>22.0</v>
      </c>
      <c r="P4" s="15">
        <v>17.0</v>
      </c>
      <c r="Q4" s="14">
        <v>15.0</v>
      </c>
      <c r="R4" s="16">
        <f t="shared" si="1"/>
        <v>306</v>
      </c>
      <c r="S4" s="17">
        <f t="shared" si="2"/>
        <v>0.1876149601</v>
      </c>
    </row>
    <row r="5" ht="14.25" customHeight="1">
      <c r="A5" s="9"/>
      <c r="B5" s="14" t="s">
        <v>22</v>
      </c>
      <c r="C5" s="14" t="s">
        <v>25</v>
      </c>
      <c r="D5" s="14">
        <v>3.0</v>
      </c>
      <c r="E5" s="14">
        <v>5.0</v>
      </c>
      <c r="F5" s="14">
        <v>6.0</v>
      </c>
      <c r="G5" s="14">
        <v>4.0</v>
      </c>
      <c r="H5" s="14">
        <v>2.0</v>
      </c>
      <c r="I5" s="14">
        <v>1.0</v>
      </c>
      <c r="J5" s="14">
        <v>2.0</v>
      </c>
      <c r="K5" s="14">
        <v>0.0</v>
      </c>
      <c r="L5" s="14">
        <v>3.0</v>
      </c>
      <c r="M5" s="14">
        <v>3.0</v>
      </c>
      <c r="N5" s="14">
        <v>1.0</v>
      </c>
      <c r="O5" s="15">
        <v>2.0</v>
      </c>
      <c r="P5" s="15">
        <v>0.0</v>
      </c>
      <c r="Q5" s="14">
        <v>0.0</v>
      </c>
      <c r="R5" s="16">
        <f t="shared" si="1"/>
        <v>32</v>
      </c>
      <c r="S5" s="17">
        <f t="shared" si="2"/>
        <v>0.01961986511</v>
      </c>
    </row>
    <row r="6" ht="14.25" customHeight="1">
      <c r="A6" s="9"/>
      <c r="B6" s="14" t="s">
        <v>25</v>
      </c>
      <c r="C6" s="14" t="s">
        <v>22</v>
      </c>
      <c r="D6" s="14">
        <v>1.0</v>
      </c>
      <c r="E6" s="14">
        <v>9.0</v>
      </c>
      <c r="F6" s="14">
        <v>11.0</v>
      </c>
      <c r="G6" s="14">
        <v>4.0</v>
      </c>
      <c r="H6" s="14">
        <v>6.0</v>
      </c>
      <c r="I6" s="14">
        <v>8.0</v>
      </c>
      <c r="J6" s="14">
        <v>2.0</v>
      </c>
      <c r="K6" s="14">
        <v>2.0</v>
      </c>
      <c r="L6" s="14">
        <v>2.0</v>
      </c>
      <c r="M6" s="14">
        <v>2.0</v>
      </c>
      <c r="N6" s="14">
        <v>5.0</v>
      </c>
      <c r="O6" s="15">
        <v>2.0</v>
      </c>
      <c r="P6" s="15">
        <v>2.0</v>
      </c>
      <c r="Q6" s="14">
        <v>0.0</v>
      </c>
      <c r="R6" s="16">
        <f t="shared" si="1"/>
        <v>56</v>
      </c>
      <c r="S6" s="17">
        <f t="shared" si="2"/>
        <v>0.03433476395</v>
      </c>
    </row>
    <row r="7" ht="14.25" customHeight="1">
      <c r="A7" s="9"/>
      <c r="B7" s="14" t="s">
        <v>25</v>
      </c>
      <c r="C7" s="14" t="s">
        <v>23</v>
      </c>
      <c r="D7" s="14">
        <v>2.0</v>
      </c>
      <c r="E7" s="14">
        <v>3.0</v>
      </c>
      <c r="F7" s="14">
        <v>6.0</v>
      </c>
      <c r="G7" s="14">
        <v>7.0</v>
      </c>
      <c r="H7" s="14">
        <v>5.0</v>
      </c>
      <c r="I7" s="14">
        <v>9.0</v>
      </c>
      <c r="J7" s="14">
        <v>6.0</v>
      </c>
      <c r="K7" s="14">
        <v>2.0</v>
      </c>
      <c r="L7" s="14">
        <v>3.0</v>
      </c>
      <c r="M7" s="14">
        <v>5.0</v>
      </c>
      <c r="N7" s="14">
        <v>5.0</v>
      </c>
      <c r="O7" s="15">
        <v>4.0</v>
      </c>
      <c r="P7" s="15">
        <v>4.0</v>
      </c>
      <c r="Q7" s="14">
        <v>0.0</v>
      </c>
      <c r="R7" s="16">
        <f t="shared" si="1"/>
        <v>61</v>
      </c>
      <c r="S7" s="17">
        <f t="shared" si="2"/>
        <v>0.03740036787</v>
      </c>
    </row>
    <row r="8" ht="14.25" customHeight="1">
      <c r="A8" s="9"/>
      <c r="B8" s="14" t="s">
        <v>25</v>
      </c>
      <c r="C8" s="14" t="s">
        <v>24</v>
      </c>
      <c r="D8" s="14">
        <v>3.0</v>
      </c>
      <c r="E8" s="14">
        <v>4.0</v>
      </c>
      <c r="F8" s="14">
        <v>6.0</v>
      </c>
      <c r="G8" s="14">
        <v>5.0</v>
      </c>
      <c r="H8" s="14">
        <v>9.0</v>
      </c>
      <c r="I8" s="14">
        <v>14.0</v>
      </c>
      <c r="J8" s="14">
        <v>2.0</v>
      </c>
      <c r="K8" s="14">
        <v>3.0</v>
      </c>
      <c r="L8" s="14">
        <v>4.0</v>
      </c>
      <c r="M8" s="14">
        <v>3.0</v>
      </c>
      <c r="N8" s="14">
        <v>2.0</v>
      </c>
      <c r="O8" s="15">
        <v>2.0</v>
      </c>
      <c r="P8" s="15">
        <v>1.0</v>
      </c>
      <c r="Q8" s="14">
        <v>0.0</v>
      </c>
      <c r="R8" s="16">
        <f t="shared" si="1"/>
        <v>58</v>
      </c>
      <c r="S8" s="17">
        <f t="shared" si="2"/>
        <v>0.03556100552</v>
      </c>
    </row>
    <row r="9" ht="14.25" customHeight="1">
      <c r="A9" s="9"/>
      <c r="B9" s="14" t="s">
        <v>24</v>
      </c>
      <c r="C9" s="14" t="s">
        <v>25</v>
      </c>
      <c r="D9" s="14">
        <v>3.0</v>
      </c>
      <c r="E9" s="14">
        <v>9.0</v>
      </c>
      <c r="F9" s="14">
        <v>6.0</v>
      </c>
      <c r="G9" s="14">
        <v>7.0</v>
      </c>
      <c r="H9" s="14">
        <v>6.0</v>
      </c>
      <c r="I9" s="14">
        <v>6.0</v>
      </c>
      <c r="J9" s="14">
        <v>3.0</v>
      </c>
      <c r="K9" s="14">
        <v>2.0</v>
      </c>
      <c r="L9" s="14">
        <v>2.0</v>
      </c>
      <c r="M9" s="14">
        <v>4.0</v>
      </c>
      <c r="N9" s="14">
        <v>4.0</v>
      </c>
      <c r="O9" s="15">
        <v>2.0</v>
      </c>
      <c r="P9" s="15">
        <v>0.0</v>
      </c>
      <c r="Q9" s="14">
        <v>0.0</v>
      </c>
      <c r="R9" s="16">
        <f t="shared" si="1"/>
        <v>54</v>
      </c>
      <c r="S9" s="17">
        <f t="shared" si="2"/>
        <v>0.03310852238</v>
      </c>
    </row>
    <row r="10" ht="14.25" customHeight="1">
      <c r="A10" s="9"/>
      <c r="B10" s="14" t="s">
        <v>24</v>
      </c>
      <c r="C10" s="14" t="s">
        <v>22</v>
      </c>
      <c r="D10" s="14">
        <v>17.0</v>
      </c>
      <c r="E10" s="14">
        <v>32.0</v>
      </c>
      <c r="F10" s="14">
        <v>37.0</v>
      </c>
      <c r="G10" s="14">
        <v>29.0</v>
      </c>
      <c r="H10" s="14">
        <v>29.0</v>
      </c>
      <c r="I10" s="14">
        <v>15.0</v>
      </c>
      <c r="J10" s="14">
        <v>24.0</v>
      </c>
      <c r="K10" s="14">
        <v>17.0</v>
      </c>
      <c r="L10" s="14">
        <v>22.0</v>
      </c>
      <c r="M10" s="14">
        <v>17.0</v>
      </c>
      <c r="N10" s="14">
        <v>24.0</v>
      </c>
      <c r="O10" s="15">
        <v>43.0</v>
      </c>
      <c r="P10" s="15">
        <v>24.0</v>
      </c>
      <c r="Q10" s="14">
        <v>15.0</v>
      </c>
      <c r="R10" s="16">
        <f t="shared" si="1"/>
        <v>345</v>
      </c>
      <c r="S10" s="17">
        <f t="shared" si="2"/>
        <v>0.2115266708</v>
      </c>
    </row>
    <row r="11" ht="14.25" customHeight="1">
      <c r="A11" s="9"/>
      <c r="B11" s="14" t="s">
        <v>24</v>
      </c>
      <c r="C11" s="14" t="s">
        <v>23</v>
      </c>
      <c r="D11" s="14">
        <v>4.0</v>
      </c>
      <c r="E11" s="14">
        <v>4.0</v>
      </c>
      <c r="F11" s="14">
        <v>6.0</v>
      </c>
      <c r="G11" s="14">
        <v>10.0</v>
      </c>
      <c r="H11" s="14">
        <v>1.0</v>
      </c>
      <c r="I11" s="14">
        <v>15.0</v>
      </c>
      <c r="J11" s="14">
        <v>13.0</v>
      </c>
      <c r="K11" s="14">
        <v>9.0</v>
      </c>
      <c r="L11" s="14">
        <v>12.0</v>
      </c>
      <c r="M11" s="14">
        <v>18.0</v>
      </c>
      <c r="N11" s="14">
        <v>14.0</v>
      </c>
      <c r="O11" s="15">
        <v>31.0</v>
      </c>
      <c r="P11" s="15">
        <v>19.0</v>
      </c>
      <c r="Q11" s="14">
        <v>9.0</v>
      </c>
      <c r="R11" s="16">
        <f t="shared" si="1"/>
        <v>165</v>
      </c>
      <c r="S11" s="17">
        <f t="shared" si="2"/>
        <v>0.1011649295</v>
      </c>
    </row>
    <row r="12" ht="14.25" customHeight="1">
      <c r="A12" s="9"/>
      <c r="B12" s="14" t="s">
        <v>23</v>
      </c>
      <c r="C12" s="14" t="s">
        <v>24</v>
      </c>
      <c r="D12" s="14">
        <v>11.0</v>
      </c>
      <c r="E12" s="14">
        <v>15.0</v>
      </c>
      <c r="F12" s="14">
        <v>16.0</v>
      </c>
      <c r="G12" s="14">
        <v>13.0</v>
      </c>
      <c r="H12" s="14">
        <v>16.0</v>
      </c>
      <c r="I12" s="14">
        <v>9.0</v>
      </c>
      <c r="J12" s="14">
        <v>13.0</v>
      </c>
      <c r="K12" s="14">
        <v>3.0</v>
      </c>
      <c r="L12" s="14">
        <v>8.0</v>
      </c>
      <c r="M12" s="14">
        <v>4.0</v>
      </c>
      <c r="N12" s="14">
        <v>21.0</v>
      </c>
      <c r="O12" s="15">
        <v>15.0</v>
      </c>
      <c r="P12" s="15">
        <v>11.0</v>
      </c>
      <c r="Q12" s="14">
        <v>5.0</v>
      </c>
      <c r="R12" s="16">
        <f t="shared" si="1"/>
        <v>160</v>
      </c>
      <c r="S12" s="17">
        <f t="shared" si="2"/>
        <v>0.09809932557</v>
      </c>
    </row>
    <row r="13" ht="14.25" customHeight="1">
      <c r="A13" s="9"/>
      <c r="B13" s="14" t="s">
        <v>23</v>
      </c>
      <c r="C13" s="14" t="s">
        <v>25</v>
      </c>
      <c r="D13" s="14">
        <v>7.0</v>
      </c>
      <c r="E13" s="14">
        <v>5.0</v>
      </c>
      <c r="F13" s="14">
        <v>10.0</v>
      </c>
      <c r="G13" s="14">
        <v>11.0</v>
      </c>
      <c r="H13" s="14">
        <v>2.0</v>
      </c>
      <c r="I13" s="14">
        <v>10.0</v>
      </c>
      <c r="J13" s="14">
        <v>2.0</v>
      </c>
      <c r="K13" s="14">
        <v>0.0</v>
      </c>
      <c r="L13" s="14">
        <v>5.0</v>
      </c>
      <c r="M13" s="14">
        <v>3.0</v>
      </c>
      <c r="N13" s="14">
        <v>6.0</v>
      </c>
      <c r="O13" s="15">
        <v>1.0</v>
      </c>
      <c r="P13" s="15">
        <v>1.0</v>
      </c>
      <c r="Q13" s="14">
        <v>0.0</v>
      </c>
      <c r="R13" s="16">
        <f t="shared" si="1"/>
        <v>63</v>
      </c>
      <c r="S13" s="17">
        <f t="shared" si="2"/>
        <v>0.03862660944</v>
      </c>
    </row>
    <row r="14" ht="14.25" customHeight="1">
      <c r="A14" s="9"/>
      <c r="B14" s="14" t="s">
        <v>23</v>
      </c>
      <c r="C14" s="14" t="s">
        <v>22</v>
      </c>
      <c r="D14" s="14">
        <v>7.0</v>
      </c>
      <c r="E14" s="14">
        <v>4.0</v>
      </c>
      <c r="F14" s="14">
        <v>22.0</v>
      </c>
      <c r="G14" s="14">
        <v>18.0</v>
      </c>
      <c r="H14" s="14">
        <v>10.0</v>
      </c>
      <c r="I14" s="14">
        <v>13.0</v>
      </c>
      <c r="J14" s="14">
        <v>7.0</v>
      </c>
      <c r="K14" s="14">
        <v>7.0</v>
      </c>
      <c r="L14" s="14">
        <v>10.0</v>
      </c>
      <c r="M14" s="14">
        <v>12.0</v>
      </c>
      <c r="N14" s="14">
        <v>19.0</v>
      </c>
      <c r="O14" s="15">
        <v>16.0</v>
      </c>
      <c r="P14" s="15">
        <v>11.0</v>
      </c>
      <c r="Q14" s="14">
        <v>4.0</v>
      </c>
      <c r="R14" s="16">
        <f t="shared" si="1"/>
        <v>160</v>
      </c>
      <c r="S14" s="17">
        <f t="shared" si="2"/>
        <v>0.09809932557</v>
      </c>
    </row>
    <row r="15" ht="14.25" customHeight="1">
      <c r="A15" s="9"/>
      <c r="B15" s="18"/>
      <c r="C15" s="18" t="s">
        <v>20</v>
      </c>
      <c r="D15" s="16">
        <f t="shared" ref="D15:Q15" si="3">SUM(D3:D14)</f>
        <v>81</v>
      </c>
      <c r="E15" s="16">
        <f t="shared" si="3"/>
        <v>127</v>
      </c>
      <c r="F15" s="16">
        <f t="shared" si="3"/>
        <v>176</v>
      </c>
      <c r="G15" s="16">
        <f t="shared" si="3"/>
        <v>143</v>
      </c>
      <c r="H15" s="16">
        <f t="shared" si="3"/>
        <v>128</v>
      </c>
      <c r="I15" s="16">
        <f t="shared" si="3"/>
        <v>137</v>
      </c>
      <c r="J15" s="16">
        <f t="shared" si="3"/>
        <v>103</v>
      </c>
      <c r="K15" s="16">
        <f t="shared" si="3"/>
        <v>68</v>
      </c>
      <c r="L15" s="16">
        <f t="shared" si="3"/>
        <v>106</v>
      </c>
      <c r="M15" s="16">
        <f t="shared" si="3"/>
        <v>105</v>
      </c>
      <c r="N15" s="16">
        <f t="shared" si="3"/>
        <v>135</v>
      </c>
      <c r="O15" s="16">
        <f t="shared" si="3"/>
        <v>162</v>
      </c>
      <c r="P15" s="16">
        <f t="shared" si="3"/>
        <v>104</v>
      </c>
      <c r="Q15" s="16">
        <f t="shared" si="3"/>
        <v>56</v>
      </c>
      <c r="R15" s="16">
        <f>SUM(R$3:R$14)</f>
        <v>1631</v>
      </c>
      <c r="S15" s="17"/>
    </row>
    <row r="16" ht="13.5" customHeight="1">
      <c r="A16" s="19"/>
      <c r="B16" s="19"/>
      <c r="C16" s="19" t="s">
        <v>26</v>
      </c>
      <c r="D16" s="20">
        <f t="shared" ref="D16:Q16" si="4">D15/$R$15</f>
        <v>0.04966278357</v>
      </c>
      <c r="E16" s="20">
        <f t="shared" si="4"/>
        <v>0.07786633967</v>
      </c>
      <c r="F16" s="20">
        <f t="shared" si="4"/>
        <v>0.1079092581</v>
      </c>
      <c r="G16" s="20">
        <f t="shared" si="4"/>
        <v>0.08767627223</v>
      </c>
      <c r="H16" s="20">
        <f t="shared" si="4"/>
        <v>0.07847946045</v>
      </c>
      <c r="I16" s="20">
        <f t="shared" si="4"/>
        <v>0.08399754752</v>
      </c>
      <c r="J16" s="20">
        <f t="shared" si="4"/>
        <v>0.06315144083</v>
      </c>
      <c r="K16" s="20">
        <f t="shared" si="4"/>
        <v>0.04169221337</v>
      </c>
      <c r="L16" s="20">
        <f t="shared" si="4"/>
        <v>0.06499080319</v>
      </c>
      <c r="M16" s="20">
        <f t="shared" si="4"/>
        <v>0.0643776824</v>
      </c>
      <c r="N16" s="20">
        <f t="shared" si="4"/>
        <v>0.08277130595</v>
      </c>
      <c r="O16" s="20">
        <f t="shared" si="4"/>
        <v>0.09932556714</v>
      </c>
      <c r="P16" s="20">
        <f t="shared" si="4"/>
        <v>0.06376456162</v>
      </c>
      <c r="Q16" s="20">
        <f t="shared" si="4"/>
        <v>0.03433476395</v>
      </c>
      <c r="R16" s="20">
        <f>SUM(D16:Q16)</f>
        <v>1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24"/>
      <c r="B18" s="24"/>
      <c r="C18" s="25" t="s">
        <v>27</v>
      </c>
    </row>
    <row r="19" ht="12.0" customHeight="1">
      <c r="A19" s="24"/>
      <c r="B19" s="24"/>
      <c r="C19" s="26" t="s">
        <v>28</v>
      </c>
      <c r="D19" s="27">
        <v>6.0</v>
      </c>
      <c r="E19" s="27">
        <v>7.0</v>
      </c>
      <c r="F19" s="27">
        <v>8.0</v>
      </c>
      <c r="G19" s="27">
        <v>9.0</v>
      </c>
      <c r="H19" s="27">
        <v>10.0</v>
      </c>
      <c r="I19" s="27">
        <v>11.0</v>
      </c>
      <c r="J19" s="27">
        <v>12.0</v>
      </c>
      <c r="K19" s="27">
        <v>13.0</v>
      </c>
      <c r="L19" s="27">
        <v>14.0</v>
      </c>
      <c r="M19" s="27">
        <v>15.0</v>
      </c>
      <c r="N19" s="27">
        <v>16.0</v>
      </c>
      <c r="O19" s="27">
        <v>17.0</v>
      </c>
      <c r="P19" s="27">
        <v>18.0</v>
      </c>
      <c r="Q19" s="27">
        <v>19.0</v>
      </c>
      <c r="R19" s="28" t="s">
        <v>20</v>
      </c>
      <c r="S19" s="29" t="s">
        <v>21</v>
      </c>
    </row>
    <row r="20" ht="14.25" customHeight="1">
      <c r="A20" s="30"/>
      <c r="B20" s="30"/>
      <c r="C20" s="31" t="s">
        <v>8</v>
      </c>
      <c r="D20" s="32">
        <v>10.0</v>
      </c>
      <c r="E20" s="32">
        <v>21.0</v>
      </c>
      <c r="F20" s="32">
        <v>39.0</v>
      </c>
      <c r="G20" s="32">
        <v>35.0</v>
      </c>
      <c r="H20" s="32">
        <v>28.0</v>
      </c>
      <c r="I20" s="32">
        <v>34.0</v>
      </c>
      <c r="J20" s="32">
        <v>17.0</v>
      </c>
      <c r="K20" s="32">
        <v>11.0</v>
      </c>
      <c r="L20" s="32">
        <v>22.0</v>
      </c>
      <c r="M20" s="32">
        <v>19.0</v>
      </c>
      <c r="N20" s="32">
        <v>16.0</v>
      </c>
      <c r="O20" s="32">
        <v>18.0</v>
      </c>
      <c r="P20" s="32">
        <v>12.0</v>
      </c>
      <c r="Q20" s="32">
        <v>7.0</v>
      </c>
      <c r="R20" s="28">
        <f t="shared" ref="R20:R32" si="5">SUM(D20:Q20)</f>
        <v>289</v>
      </c>
      <c r="S20" s="29">
        <f t="shared" ref="S20:S32" si="6">R20/$R$15</f>
        <v>0.1771919068</v>
      </c>
    </row>
    <row r="21" ht="14.25" customHeight="1">
      <c r="A21" s="30"/>
      <c r="B21" s="30"/>
      <c r="C21" s="33" t="s">
        <v>9</v>
      </c>
      <c r="D21" s="34">
        <v>4.0</v>
      </c>
      <c r="E21" s="34">
        <v>15.0</v>
      </c>
      <c r="F21" s="34">
        <v>4.0</v>
      </c>
      <c r="G21" s="34">
        <v>8.0</v>
      </c>
      <c r="H21" s="34">
        <v>14.0</v>
      </c>
      <c r="I21" s="34">
        <v>9.0</v>
      </c>
      <c r="J21" s="34">
        <v>16.0</v>
      </c>
      <c r="K21" s="34">
        <v>8.0</v>
      </c>
      <c r="L21" s="34">
        <v>8.0</v>
      </c>
      <c r="M21" s="34">
        <v>8.0</v>
      </c>
      <c r="N21" s="34">
        <v>13.0</v>
      </c>
      <c r="O21" s="34">
        <v>20.0</v>
      </c>
      <c r="P21" s="34">
        <v>15.0</v>
      </c>
      <c r="Q21" s="34">
        <v>8.0</v>
      </c>
      <c r="R21" s="28">
        <f t="shared" si="5"/>
        <v>150</v>
      </c>
      <c r="S21" s="29">
        <f t="shared" si="6"/>
        <v>0.09196811772</v>
      </c>
    </row>
    <row r="22" ht="14.25" customHeight="1">
      <c r="A22" s="30"/>
      <c r="B22" s="30"/>
      <c r="C22" s="31" t="s">
        <v>10</v>
      </c>
      <c r="D22" s="32">
        <v>0.0</v>
      </c>
      <c r="E22" s="32">
        <v>1.0</v>
      </c>
      <c r="F22" s="32">
        <v>0.0</v>
      </c>
      <c r="G22" s="32">
        <v>1.0</v>
      </c>
      <c r="H22" s="32">
        <v>2.0</v>
      </c>
      <c r="I22" s="32">
        <v>1.0</v>
      </c>
      <c r="J22" s="32">
        <v>0.0</v>
      </c>
      <c r="K22" s="32">
        <v>0.0</v>
      </c>
      <c r="L22" s="32">
        <v>0.0</v>
      </c>
      <c r="M22" s="32">
        <v>0.0</v>
      </c>
      <c r="N22" s="32">
        <v>0.0</v>
      </c>
      <c r="O22" s="32">
        <v>0.0</v>
      </c>
      <c r="P22" s="32">
        <v>0.0</v>
      </c>
      <c r="Q22" s="32">
        <v>0.0</v>
      </c>
      <c r="R22" s="28">
        <f t="shared" si="5"/>
        <v>5</v>
      </c>
      <c r="S22" s="29">
        <f t="shared" si="6"/>
        <v>0.003065603924</v>
      </c>
    </row>
    <row r="23" ht="14.25" customHeight="1">
      <c r="A23" s="30"/>
      <c r="B23" s="30"/>
      <c r="C23" s="33" t="s">
        <v>29</v>
      </c>
      <c r="D23" s="34">
        <v>4.0</v>
      </c>
      <c r="E23" s="35">
        <v>3.0</v>
      </c>
      <c r="F23" s="34">
        <v>1.0</v>
      </c>
      <c r="G23" s="34">
        <v>2.0</v>
      </c>
      <c r="H23" s="34">
        <v>3.0</v>
      </c>
      <c r="I23" s="34">
        <v>5.0</v>
      </c>
      <c r="J23" s="34">
        <v>5.0</v>
      </c>
      <c r="K23" s="34">
        <v>2.0</v>
      </c>
      <c r="L23" s="34">
        <v>3.0</v>
      </c>
      <c r="M23" s="34">
        <v>1.0</v>
      </c>
      <c r="N23" s="34">
        <v>1.0</v>
      </c>
      <c r="O23" s="34">
        <v>0.0</v>
      </c>
      <c r="P23" s="34">
        <v>0.0</v>
      </c>
      <c r="Q23" s="34">
        <v>0.0</v>
      </c>
      <c r="R23" s="28">
        <f t="shared" si="5"/>
        <v>30</v>
      </c>
      <c r="S23" s="29">
        <f t="shared" si="6"/>
        <v>0.01839362354</v>
      </c>
    </row>
    <row r="24" ht="14.25" customHeight="1">
      <c r="A24" s="30"/>
      <c r="B24" s="30"/>
      <c r="C24" s="31" t="s">
        <v>30</v>
      </c>
      <c r="D24" s="32">
        <v>1.0</v>
      </c>
      <c r="E24" s="32">
        <v>2.0</v>
      </c>
      <c r="F24" s="32">
        <v>1.0</v>
      </c>
      <c r="G24" s="32">
        <v>0.0</v>
      </c>
      <c r="H24" s="32">
        <v>1.0</v>
      </c>
      <c r="I24" s="32">
        <v>0.0</v>
      </c>
      <c r="J24" s="32">
        <v>0.0</v>
      </c>
      <c r="K24" s="32">
        <v>0.0</v>
      </c>
      <c r="L24" s="32">
        <v>1.0</v>
      </c>
      <c r="M24" s="32">
        <v>1.0</v>
      </c>
      <c r="N24" s="32">
        <v>2.0</v>
      </c>
      <c r="O24" s="32">
        <v>0.0</v>
      </c>
      <c r="P24" s="32">
        <v>2.0</v>
      </c>
      <c r="Q24" s="32">
        <v>0.0</v>
      </c>
      <c r="R24" s="28">
        <f t="shared" si="5"/>
        <v>11</v>
      </c>
      <c r="S24" s="29">
        <f t="shared" si="6"/>
        <v>0.006744328633</v>
      </c>
    </row>
    <row r="25" ht="14.25" customHeight="1">
      <c r="A25" s="30"/>
      <c r="B25" s="30"/>
      <c r="C25" s="33" t="s">
        <v>31</v>
      </c>
      <c r="D25" s="34">
        <v>0.0</v>
      </c>
      <c r="E25" s="35">
        <v>0.0</v>
      </c>
      <c r="F25" s="34">
        <v>0.0</v>
      </c>
      <c r="G25" s="34">
        <v>0.0</v>
      </c>
      <c r="H25" s="34">
        <v>0.0</v>
      </c>
      <c r="I25" s="34">
        <v>0.0</v>
      </c>
      <c r="J25" s="34">
        <v>0.0</v>
      </c>
      <c r="K25" s="34">
        <v>0.0</v>
      </c>
      <c r="L25" s="34">
        <v>0.0</v>
      </c>
      <c r="M25" s="34">
        <v>0.0</v>
      </c>
      <c r="N25" s="34">
        <v>0.0</v>
      </c>
      <c r="O25" s="34">
        <v>0.0</v>
      </c>
      <c r="P25" s="34">
        <v>0.0</v>
      </c>
      <c r="Q25" s="34">
        <v>0.0</v>
      </c>
      <c r="R25" s="28">
        <f t="shared" si="5"/>
        <v>0</v>
      </c>
      <c r="S25" s="29">
        <f t="shared" si="6"/>
        <v>0</v>
      </c>
    </row>
    <row r="26" ht="14.25" customHeight="1">
      <c r="A26" s="30"/>
      <c r="B26" s="30"/>
      <c r="C26" s="31" t="s">
        <v>32</v>
      </c>
      <c r="D26" s="32">
        <v>6.0</v>
      </c>
      <c r="E26" s="32">
        <v>15.0</v>
      </c>
      <c r="F26" s="32">
        <v>5.0</v>
      </c>
      <c r="G26" s="32">
        <v>12.0</v>
      </c>
      <c r="H26" s="32">
        <v>12.0</v>
      </c>
      <c r="I26" s="32">
        <v>12.0</v>
      </c>
      <c r="J26" s="32">
        <v>5.0</v>
      </c>
      <c r="K26" s="32">
        <v>2.0</v>
      </c>
      <c r="L26" s="32">
        <v>9.0</v>
      </c>
      <c r="M26" s="32">
        <v>8.0</v>
      </c>
      <c r="N26" s="32">
        <v>14.0</v>
      </c>
      <c r="O26" s="32">
        <v>12.0</v>
      </c>
      <c r="P26" s="32">
        <v>8.0</v>
      </c>
      <c r="Q26" s="32">
        <v>2.0</v>
      </c>
      <c r="R26" s="28">
        <f t="shared" si="5"/>
        <v>122</v>
      </c>
      <c r="S26" s="29">
        <f t="shared" si="6"/>
        <v>0.07480073574</v>
      </c>
    </row>
    <row r="27" ht="14.25" customHeight="1">
      <c r="A27" s="30"/>
      <c r="B27" s="30"/>
      <c r="C27" s="33" t="s">
        <v>33</v>
      </c>
      <c r="D27" s="34">
        <v>16.0</v>
      </c>
      <c r="E27" s="35">
        <v>27.0</v>
      </c>
      <c r="F27" s="34">
        <v>45.0</v>
      </c>
      <c r="G27" s="34">
        <v>37.0</v>
      </c>
      <c r="H27" s="34">
        <v>20.0</v>
      </c>
      <c r="I27" s="34">
        <v>20.0</v>
      </c>
      <c r="J27" s="34">
        <v>17.0</v>
      </c>
      <c r="K27" s="34">
        <v>11.0</v>
      </c>
      <c r="L27" s="34">
        <v>15.0</v>
      </c>
      <c r="M27" s="34">
        <v>15.0</v>
      </c>
      <c r="N27" s="34">
        <v>16.0</v>
      </c>
      <c r="O27" s="34">
        <v>15.0</v>
      </c>
      <c r="P27" s="34">
        <v>3.0</v>
      </c>
      <c r="Q27" s="34">
        <v>4.0</v>
      </c>
      <c r="R27" s="28">
        <f t="shared" si="5"/>
        <v>261</v>
      </c>
      <c r="S27" s="29">
        <f t="shared" si="6"/>
        <v>0.1600245248</v>
      </c>
    </row>
    <row r="28" ht="14.25" customHeight="1">
      <c r="A28" s="30"/>
      <c r="B28" s="30"/>
      <c r="C28" s="36" t="s">
        <v>13</v>
      </c>
      <c r="D28" s="32">
        <v>0.0</v>
      </c>
      <c r="E28" s="32">
        <v>0.0</v>
      </c>
      <c r="F28" s="32">
        <v>0.0</v>
      </c>
      <c r="G28" s="32">
        <v>2.0</v>
      </c>
      <c r="H28" s="32">
        <v>1.0</v>
      </c>
      <c r="I28" s="32">
        <v>0.0</v>
      </c>
      <c r="J28" s="32">
        <v>2.0</v>
      </c>
      <c r="K28" s="32">
        <v>1.0</v>
      </c>
      <c r="L28" s="32">
        <v>0.0</v>
      </c>
      <c r="M28" s="32">
        <v>0.0</v>
      </c>
      <c r="N28" s="32">
        <v>1.0</v>
      </c>
      <c r="O28" s="32">
        <v>1.0</v>
      </c>
      <c r="P28" s="32">
        <v>1.0</v>
      </c>
      <c r="Q28" s="32">
        <v>0.0</v>
      </c>
      <c r="R28" s="28">
        <f t="shared" si="5"/>
        <v>9</v>
      </c>
      <c r="S28" s="29">
        <f t="shared" si="6"/>
        <v>0.005518087063</v>
      </c>
    </row>
    <row r="29" ht="14.25" customHeight="1">
      <c r="A29" s="24"/>
      <c r="B29" s="24"/>
      <c r="C29" s="33" t="s">
        <v>34</v>
      </c>
      <c r="D29" s="34">
        <v>0.0</v>
      </c>
      <c r="E29" s="35">
        <v>0.0</v>
      </c>
      <c r="F29" s="34">
        <v>0.0</v>
      </c>
      <c r="G29" s="34">
        <v>0.0</v>
      </c>
      <c r="H29" s="34">
        <v>0.0</v>
      </c>
      <c r="I29" s="34">
        <v>0.0</v>
      </c>
      <c r="J29" s="34">
        <v>0.0</v>
      </c>
      <c r="K29" s="34">
        <v>0.0</v>
      </c>
      <c r="L29" s="34">
        <v>0.0</v>
      </c>
      <c r="M29" s="34">
        <v>0.0</v>
      </c>
      <c r="N29" s="34">
        <v>0.0</v>
      </c>
      <c r="O29" s="34">
        <v>0.0</v>
      </c>
      <c r="P29" s="34">
        <v>0.0</v>
      </c>
      <c r="Q29" s="34">
        <v>0.0</v>
      </c>
      <c r="R29" s="28">
        <f t="shared" si="5"/>
        <v>0</v>
      </c>
      <c r="S29" s="29">
        <f t="shared" si="6"/>
        <v>0</v>
      </c>
    </row>
    <row r="30" ht="14.25" customHeight="1">
      <c r="A30" s="24"/>
      <c r="B30" s="24"/>
      <c r="C30" s="31" t="s">
        <v>14</v>
      </c>
      <c r="D30" s="32">
        <v>6.0</v>
      </c>
      <c r="E30" s="37">
        <v>1.0</v>
      </c>
      <c r="F30" s="32">
        <v>5.0</v>
      </c>
      <c r="G30" s="32">
        <v>1.0</v>
      </c>
      <c r="H30" s="32">
        <v>3.0</v>
      </c>
      <c r="I30" s="32">
        <v>2.0</v>
      </c>
      <c r="J30" s="32">
        <v>7.0</v>
      </c>
      <c r="K30" s="32">
        <v>1.0</v>
      </c>
      <c r="L30" s="32">
        <v>7.0</v>
      </c>
      <c r="M30" s="32">
        <v>6.0</v>
      </c>
      <c r="N30" s="32">
        <v>6.0</v>
      </c>
      <c r="O30" s="32">
        <v>7.0</v>
      </c>
      <c r="P30" s="32">
        <v>3.0</v>
      </c>
      <c r="Q30" s="32">
        <v>3.0</v>
      </c>
      <c r="R30" s="27">
        <f t="shared" si="5"/>
        <v>58</v>
      </c>
      <c r="S30" s="29">
        <f t="shared" si="6"/>
        <v>0.03556100552</v>
      </c>
    </row>
    <row r="31" ht="14.25" customHeight="1">
      <c r="A31" s="24"/>
      <c r="B31" s="24"/>
      <c r="C31" s="33" t="s">
        <v>35</v>
      </c>
      <c r="D31" s="34">
        <v>1.0</v>
      </c>
      <c r="E31" s="34">
        <v>1.0</v>
      </c>
      <c r="F31" s="34">
        <v>0.0</v>
      </c>
      <c r="G31" s="34">
        <v>0.0</v>
      </c>
      <c r="H31" s="34">
        <v>1.0</v>
      </c>
      <c r="I31" s="34">
        <v>0.0</v>
      </c>
      <c r="J31" s="34">
        <v>2.0</v>
      </c>
      <c r="K31" s="34">
        <v>3.0</v>
      </c>
      <c r="L31" s="34">
        <v>4.0</v>
      </c>
      <c r="M31" s="34">
        <v>1.0</v>
      </c>
      <c r="N31" s="34">
        <v>2.0</v>
      </c>
      <c r="O31" s="34">
        <v>7.0</v>
      </c>
      <c r="P31" s="34">
        <v>9.0</v>
      </c>
      <c r="Q31" s="34">
        <v>1.0</v>
      </c>
      <c r="R31" s="28">
        <f t="shared" si="5"/>
        <v>32</v>
      </c>
      <c r="S31" s="29">
        <f t="shared" si="6"/>
        <v>0.01961986511</v>
      </c>
    </row>
    <row r="32" ht="14.25" customHeight="1">
      <c r="A32" s="30"/>
      <c r="B32" s="30"/>
      <c r="C32" s="38" t="s">
        <v>15</v>
      </c>
      <c r="D32" s="39">
        <v>3.0</v>
      </c>
      <c r="E32" s="39">
        <v>11.0</v>
      </c>
      <c r="F32" s="39">
        <v>6.0</v>
      </c>
      <c r="G32" s="39">
        <v>0.0</v>
      </c>
      <c r="H32" s="39">
        <v>12.0</v>
      </c>
      <c r="I32" s="39">
        <v>7.0</v>
      </c>
      <c r="J32" s="39">
        <v>13.0</v>
      </c>
      <c r="K32" s="39">
        <v>2.0</v>
      </c>
      <c r="L32" s="39">
        <v>7.0</v>
      </c>
      <c r="M32" s="39">
        <v>7.0</v>
      </c>
      <c r="N32" s="39">
        <v>15.0</v>
      </c>
      <c r="O32" s="39">
        <v>8.0</v>
      </c>
      <c r="P32" s="39">
        <v>8.0</v>
      </c>
      <c r="Q32" s="39">
        <v>7.0</v>
      </c>
      <c r="R32" s="28">
        <f t="shared" si="5"/>
        <v>106</v>
      </c>
      <c r="S32" s="29">
        <f t="shared" si="6"/>
        <v>0.06499080319</v>
      </c>
    </row>
    <row r="33" ht="14.25" customHeight="1">
      <c r="A33" s="30"/>
      <c r="B33" s="3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30"/>
      <c r="S33" s="41"/>
    </row>
    <row r="34" ht="14.25" customHeight="1">
      <c r="A34" s="42"/>
      <c r="B34" s="42"/>
      <c r="C34" s="43"/>
      <c r="D34" s="44"/>
      <c r="E34" s="45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5"/>
      <c r="S34" s="46"/>
    </row>
    <row r="35" ht="14.25" customHeight="1">
      <c r="A35" s="30"/>
      <c r="B35" s="30"/>
      <c r="C35" s="25" t="s">
        <v>36</v>
      </c>
    </row>
    <row r="36" ht="14.25" customHeight="1">
      <c r="A36" s="30"/>
      <c r="B36" s="30"/>
      <c r="C36" s="26" t="s">
        <v>28</v>
      </c>
      <c r="D36" s="27">
        <v>6.0</v>
      </c>
      <c r="E36" s="28">
        <v>7.0</v>
      </c>
      <c r="F36" s="27">
        <v>8.0</v>
      </c>
      <c r="G36" s="27">
        <v>9.0</v>
      </c>
      <c r="H36" s="27">
        <v>10.0</v>
      </c>
      <c r="I36" s="27">
        <v>11.0</v>
      </c>
      <c r="J36" s="27">
        <v>12.0</v>
      </c>
      <c r="K36" s="27">
        <v>13.0</v>
      </c>
      <c r="L36" s="27">
        <v>14.0</v>
      </c>
      <c r="M36" s="27">
        <v>15.0</v>
      </c>
      <c r="N36" s="27">
        <v>16.0</v>
      </c>
      <c r="O36" s="27">
        <v>17.0</v>
      </c>
      <c r="P36" s="27">
        <v>18.0</v>
      </c>
      <c r="Q36" s="27">
        <v>19.0</v>
      </c>
      <c r="R36" s="28" t="s">
        <v>20</v>
      </c>
      <c r="S36" s="29" t="s">
        <v>21</v>
      </c>
    </row>
    <row r="37" ht="14.25" customHeight="1">
      <c r="A37" s="30"/>
      <c r="B37" s="30"/>
      <c r="C37" s="31" t="s">
        <v>37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28">
        <f t="shared" ref="R37:R50" si="7">SUM(D37:Q37)</f>
        <v>0</v>
      </c>
      <c r="S37" s="29">
        <f t="shared" ref="S37:S55" si="8">R37/$R$15</f>
        <v>0</v>
      </c>
    </row>
    <row r="38" ht="14.25" customHeight="1">
      <c r="A38" s="30"/>
      <c r="B38" s="30"/>
      <c r="C38" s="33" t="s">
        <v>38</v>
      </c>
      <c r="D38" s="34">
        <v>2.0</v>
      </c>
      <c r="E38" s="34"/>
      <c r="F38" s="34">
        <v>8.0</v>
      </c>
      <c r="G38" s="34">
        <v>12.0</v>
      </c>
      <c r="H38" s="34">
        <v>15.0</v>
      </c>
      <c r="I38" s="48">
        <v>10.0</v>
      </c>
      <c r="J38" s="48">
        <v>8.0</v>
      </c>
      <c r="K38" s="48">
        <v>5.0</v>
      </c>
      <c r="L38" s="48">
        <v>4.0</v>
      </c>
      <c r="M38" s="34">
        <v>12.0</v>
      </c>
      <c r="N38" s="48">
        <v>8.0</v>
      </c>
      <c r="O38" s="34">
        <v>8.0</v>
      </c>
      <c r="P38" s="48">
        <v>1.0</v>
      </c>
      <c r="Q38" s="48">
        <v>1.0</v>
      </c>
      <c r="R38" s="28">
        <f t="shared" si="7"/>
        <v>94</v>
      </c>
      <c r="S38" s="29">
        <f t="shared" si="8"/>
        <v>0.05763335377</v>
      </c>
    </row>
    <row r="39" ht="14.25" customHeight="1">
      <c r="A39" s="30"/>
      <c r="B39" s="30"/>
      <c r="C39" s="31" t="s">
        <v>39</v>
      </c>
      <c r="D39" s="47"/>
      <c r="E39" s="49"/>
      <c r="F39" s="50">
        <v>1.0</v>
      </c>
      <c r="G39" s="50">
        <v>2.0</v>
      </c>
      <c r="H39" s="47"/>
      <c r="I39" s="47"/>
      <c r="J39" s="47"/>
      <c r="K39" s="47"/>
      <c r="L39" s="51"/>
      <c r="M39" s="47"/>
      <c r="N39" s="32">
        <v>1.0</v>
      </c>
      <c r="O39" s="37">
        <v>1.0</v>
      </c>
      <c r="P39" s="51"/>
      <c r="Q39" s="51"/>
      <c r="R39" s="28">
        <f t="shared" si="7"/>
        <v>5</v>
      </c>
      <c r="S39" s="29">
        <f t="shared" si="8"/>
        <v>0.003065603924</v>
      </c>
    </row>
    <row r="40" ht="14.25" customHeight="1">
      <c r="A40" s="30"/>
      <c r="B40" s="30"/>
      <c r="C40" s="33" t="s">
        <v>40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28">
        <f t="shared" si="7"/>
        <v>0</v>
      </c>
      <c r="S40" s="29">
        <f t="shared" si="8"/>
        <v>0</v>
      </c>
    </row>
    <row r="41" ht="14.25" customHeight="1">
      <c r="A41" s="30"/>
      <c r="B41" s="30"/>
      <c r="C41" s="31" t="s">
        <v>41</v>
      </c>
      <c r="D41" s="51"/>
      <c r="E41" s="32">
        <v>2.0</v>
      </c>
      <c r="F41" s="51"/>
      <c r="G41" s="32">
        <v>3.0</v>
      </c>
      <c r="H41" s="32">
        <v>4.0</v>
      </c>
      <c r="I41" s="32">
        <v>4.0</v>
      </c>
      <c r="J41" s="50"/>
      <c r="K41" s="51"/>
      <c r="L41" s="51"/>
      <c r="M41" s="50"/>
      <c r="N41" s="50"/>
      <c r="O41" s="50"/>
      <c r="P41" s="32"/>
      <c r="Q41" s="32"/>
      <c r="R41" s="28">
        <f t="shared" si="7"/>
        <v>13</v>
      </c>
      <c r="S41" s="29">
        <f t="shared" si="8"/>
        <v>0.007970570202</v>
      </c>
    </row>
    <row r="42" ht="14.25" customHeight="1">
      <c r="A42" s="30"/>
      <c r="B42" s="30"/>
      <c r="C42" s="33" t="s">
        <v>42</v>
      </c>
      <c r="D42" s="48"/>
      <c r="E42" s="48"/>
      <c r="F42" s="53"/>
      <c r="G42" s="52"/>
      <c r="H42" s="48">
        <v>2.0</v>
      </c>
      <c r="I42" s="48">
        <v>1.0</v>
      </c>
      <c r="J42" s="48"/>
      <c r="K42" s="48"/>
      <c r="L42" s="48"/>
      <c r="M42" s="34">
        <v>2.0</v>
      </c>
      <c r="N42" s="48"/>
      <c r="O42" s="34">
        <v>1.0</v>
      </c>
      <c r="P42" s="52"/>
      <c r="Q42" s="34">
        <v>1.0</v>
      </c>
      <c r="R42" s="28">
        <f t="shared" si="7"/>
        <v>7</v>
      </c>
      <c r="S42" s="29">
        <f t="shared" si="8"/>
        <v>0.004291845494</v>
      </c>
    </row>
    <row r="43" ht="14.25" customHeight="1">
      <c r="A43" s="30"/>
      <c r="B43" s="30"/>
      <c r="C43" s="31" t="s">
        <v>43</v>
      </c>
      <c r="D43" s="47"/>
      <c r="E43" s="51"/>
      <c r="F43" s="47"/>
      <c r="G43" s="47"/>
      <c r="H43" s="47"/>
      <c r="I43" s="47"/>
      <c r="J43" s="47"/>
      <c r="K43" s="47"/>
      <c r="L43" s="47"/>
      <c r="M43" s="47"/>
      <c r="N43" s="47"/>
      <c r="O43" s="50"/>
      <c r="P43" s="47"/>
      <c r="Q43" s="47"/>
      <c r="R43" s="28">
        <f t="shared" si="7"/>
        <v>0</v>
      </c>
      <c r="S43" s="29">
        <f t="shared" si="8"/>
        <v>0</v>
      </c>
    </row>
    <row r="44" ht="14.25" customHeight="1">
      <c r="A44" s="30"/>
      <c r="B44" s="30"/>
      <c r="C44" s="33" t="s">
        <v>44</v>
      </c>
      <c r="D44" s="48"/>
      <c r="E44" s="34"/>
      <c r="F44" s="52"/>
      <c r="G44" s="34"/>
      <c r="H44" s="52"/>
      <c r="I44" s="53"/>
      <c r="J44" s="53"/>
      <c r="K44" s="34"/>
      <c r="L44" s="48"/>
      <c r="M44" s="53"/>
      <c r="N44" s="35">
        <v>1.0</v>
      </c>
      <c r="O44" s="53"/>
      <c r="P44" s="48"/>
      <c r="Q44" s="52"/>
      <c r="R44" s="28">
        <f t="shared" si="7"/>
        <v>1</v>
      </c>
      <c r="S44" s="29">
        <f t="shared" si="8"/>
        <v>0.0006131207848</v>
      </c>
    </row>
    <row r="45" ht="14.25" customHeight="1">
      <c r="A45" s="30"/>
      <c r="B45" s="30"/>
      <c r="C45" s="31" t="s">
        <v>45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54"/>
      <c r="O45" s="47"/>
      <c r="P45" s="47"/>
      <c r="Q45" s="47"/>
      <c r="R45" s="28">
        <f t="shared" si="7"/>
        <v>0</v>
      </c>
      <c r="S45" s="29">
        <f t="shared" si="8"/>
        <v>0</v>
      </c>
    </row>
    <row r="46" ht="14.25" customHeight="1">
      <c r="A46" s="30"/>
      <c r="B46" s="30"/>
      <c r="C46" s="33" t="s">
        <v>46</v>
      </c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6"/>
      <c r="O46" s="55"/>
      <c r="P46" s="55"/>
      <c r="Q46" s="55"/>
      <c r="R46" s="28">
        <f t="shared" si="7"/>
        <v>0</v>
      </c>
      <c r="S46" s="29">
        <f t="shared" si="8"/>
        <v>0</v>
      </c>
    </row>
    <row r="47" ht="14.25" customHeight="1">
      <c r="A47" s="30"/>
      <c r="B47" s="30"/>
      <c r="C47" s="31" t="s">
        <v>47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8"/>
      <c r="O47" s="57"/>
      <c r="P47" s="57"/>
      <c r="Q47" s="57"/>
      <c r="R47" s="28">
        <f t="shared" si="7"/>
        <v>0</v>
      </c>
      <c r="S47" s="29">
        <f t="shared" si="8"/>
        <v>0</v>
      </c>
    </row>
    <row r="48" ht="14.25" customHeight="1">
      <c r="A48" s="24"/>
      <c r="B48" s="24"/>
      <c r="C48" s="33" t="s">
        <v>48</v>
      </c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6"/>
      <c r="O48" s="55"/>
      <c r="P48" s="55"/>
      <c r="Q48" s="55"/>
      <c r="R48" s="28">
        <f t="shared" si="7"/>
        <v>0</v>
      </c>
      <c r="S48" s="29">
        <f t="shared" si="8"/>
        <v>0</v>
      </c>
    </row>
    <row r="49" ht="14.25" customHeight="1">
      <c r="A49" s="30"/>
      <c r="B49" s="30"/>
      <c r="C49" s="31" t="s">
        <v>49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8"/>
      <c r="O49" s="57"/>
      <c r="P49" s="57"/>
      <c r="Q49" s="57"/>
      <c r="R49" s="28">
        <f t="shared" si="7"/>
        <v>0</v>
      </c>
      <c r="S49" s="29">
        <f t="shared" si="8"/>
        <v>0</v>
      </c>
    </row>
    <row r="50" ht="14.25" customHeight="1">
      <c r="A50" s="30"/>
      <c r="B50" s="30"/>
      <c r="C50" s="59" t="s">
        <v>50</v>
      </c>
      <c r="D50" s="48">
        <v>4.0</v>
      </c>
      <c r="E50" s="48">
        <v>7.0</v>
      </c>
      <c r="F50" s="48">
        <v>2.0</v>
      </c>
      <c r="G50" s="48">
        <v>6.0</v>
      </c>
      <c r="H50" s="48">
        <v>11.0</v>
      </c>
      <c r="I50" s="34">
        <v>6.0</v>
      </c>
      <c r="J50" s="48">
        <v>2.0</v>
      </c>
      <c r="K50" s="48">
        <v>4.0</v>
      </c>
      <c r="L50" s="48">
        <v>6.0</v>
      </c>
      <c r="M50" s="48">
        <v>4.0</v>
      </c>
      <c r="N50" s="34">
        <v>3.0</v>
      </c>
      <c r="O50" s="48">
        <v>4.0</v>
      </c>
      <c r="P50" s="48"/>
      <c r="Q50" s="48">
        <v>1.0</v>
      </c>
      <c r="R50" s="28">
        <f t="shared" si="7"/>
        <v>60</v>
      </c>
      <c r="S50" s="29">
        <f t="shared" si="8"/>
        <v>0.03678724709</v>
      </c>
    </row>
    <row r="51" ht="14.25" customHeight="1">
      <c r="A51" s="24"/>
      <c r="B51" s="24"/>
      <c r="C51" s="31" t="s">
        <v>11</v>
      </c>
      <c r="D51" s="51">
        <f t="shared" ref="D51:R51" si="9">SUM(D23:D25)</f>
        <v>5</v>
      </c>
      <c r="E51" s="51">
        <f t="shared" si="9"/>
        <v>5</v>
      </c>
      <c r="F51" s="51">
        <f t="shared" si="9"/>
        <v>2</v>
      </c>
      <c r="G51" s="51">
        <f t="shared" si="9"/>
        <v>2</v>
      </c>
      <c r="H51" s="51">
        <f t="shared" si="9"/>
        <v>4</v>
      </c>
      <c r="I51" s="51">
        <f t="shared" si="9"/>
        <v>5</v>
      </c>
      <c r="J51" s="51">
        <f t="shared" si="9"/>
        <v>5</v>
      </c>
      <c r="K51" s="51">
        <f t="shared" si="9"/>
        <v>2</v>
      </c>
      <c r="L51" s="51">
        <f t="shared" si="9"/>
        <v>4</v>
      </c>
      <c r="M51" s="51">
        <f t="shared" si="9"/>
        <v>2</v>
      </c>
      <c r="N51" s="51">
        <f t="shared" si="9"/>
        <v>3</v>
      </c>
      <c r="O51" s="51">
        <f t="shared" si="9"/>
        <v>0</v>
      </c>
      <c r="P51" s="51">
        <f t="shared" si="9"/>
        <v>2</v>
      </c>
      <c r="Q51" s="51">
        <f t="shared" si="9"/>
        <v>0</v>
      </c>
      <c r="R51" s="28">
        <f t="shared" si="9"/>
        <v>41</v>
      </c>
      <c r="S51" s="29">
        <f t="shared" si="8"/>
        <v>0.02513795218</v>
      </c>
    </row>
    <row r="52" ht="14.25" customHeight="1">
      <c r="A52" s="24"/>
      <c r="B52" s="24"/>
      <c r="C52" s="33" t="s">
        <v>12</v>
      </c>
      <c r="D52" s="53">
        <f t="shared" ref="D52:R52" si="10">SUM(D26:D27)</f>
        <v>22</v>
      </c>
      <c r="E52" s="53">
        <f t="shared" si="10"/>
        <v>42</v>
      </c>
      <c r="F52" s="53">
        <f t="shared" si="10"/>
        <v>50</v>
      </c>
      <c r="G52" s="53">
        <f t="shared" si="10"/>
        <v>49</v>
      </c>
      <c r="H52" s="53">
        <f t="shared" si="10"/>
        <v>32</v>
      </c>
      <c r="I52" s="53">
        <f t="shared" si="10"/>
        <v>32</v>
      </c>
      <c r="J52" s="53">
        <f t="shared" si="10"/>
        <v>22</v>
      </c>
      <c r="K52" s="53">
        <f t="shared" si="10"/>
        <v>13</v>
      </c>
      <c r="L52" s="53">
        <f t="shared" si="10"/>
        <v>24</v>
      </c>
      <c r="M52" s="53">
        <f t="shared" si="10"/>
        <v>23</v>
      </c>
      <c r="N52" s="53">
        <f t="shared" si="10"/>
        <v>30</v>
      </c>
      <c r="O52" s="53">
        <f t="shared" si="10"/>
        <v>27</v>
      </c>
      <c r="P52" s="53">
        <f t="shared" si="10"/>
        <v>11</v>
      </c>
      <c r="Q52" s="53">
        <f t="shared" si="10"/>
        <v>6</v>
      </c>
      <c r="R52" s="28">
        <f t="shared" si="10"/>
        <v>383</v>
      </c>
      <c r="S52" s="29">
        <f t="shared" si="8"/>
        <v>0.2348252606</v>
      </c>
    </row>
    <row r="53" ht="14.25" customHeight="1">
      <c r="A53" s="24"/>
      <c r="B53" s="24"/>
      <c r="C53" s="31" t="s">
        <v>13</v>
      </c>
      <c r="D53" s="51">
        <f t="shared" ref="D53:R53" si="11">SUM(D28:D29)</f>
        <v>0</v>
      </c>
      <c r="E53" s="51">
        <f t="shared" si="11"/>
        <v>0</v>
      </c>
      <c r="F53" s="51">
        <f t="shared" si="11"/>
        <v>0</v>
      </c>
      <c r="G53" s="51">
        <f t="shared" si="11"/>
        <v>2</v>
      </c>
      <c r="H53" s="51">
        <f t="shared" si="11"/>
        <v>1</v>
      </c>
      <c r="I53" s="51">
        <f t="shared" si="11"/>
        <v>0</v>
      </c>
      <c r="J53" s="51">
        <f t="shared" si="11"/>
        <v>2</v>
      </c>
      <c r="K53" s="51">
        <f t="shared" si="11"/>
        <v>1</v>
      </c>
      <c r="L53" s="51">
        <f t="shared" si="11"/>
        <v>0</v>
      </c>
      <c r="M53" s="51">
        <f t="shared" si="11"/>
        <v>0</v>
      </c>
      <c r="N53" s="51">
        <f t="shared" si="11"/>
        <v>1</v>
      </c>
      <c r="O53" s="51">
        <f t="shared" si="11"/>
        <v>1</v>
      </c>
      <c r="P53" s="51">
        <f t="shared" si="11"/>
        <v>1</v>
      </c>
      <c r="Q53" s="51">
        <f t="shared" si="11"/>
        <v>0</v>
      </c>
      <c r="R53" s="28">
        <f t="shared" si="11"/>
        <v>9</v>
      </c>
      <c r="S53" s="29">
        <f t="shared" si="8"/>
        <v>0.005518087063</v>
      </c>
    </row>
    <row r="54" ht="14.25" customHeight="1">
      <c r="A54" s="24"/>
      <c r="B54" s="24"/>
      <c r="C54" s="33" t="s">
        <v>14</v>
      </c>
      <c r="D54" s="53">
        <f t="shared" ref="D54:R54" si="12">SUM(D30:D31)</f>
        <v>7</v>
      </c>
      <c r="E54" s="53">
        <f t="shared" si="12"/>
        <v>2</v>
      </c>
      <c r="F54" s="53">
        <f t="shared" si="12"/>
        <v>5</v>
      </c>
      <c r="G54" s="53">
        <f t="shared" si="12"/>
        <v>1</v>
      </c>
      <c r="H54" s="53">
        <f t="shared" si="12"/>
        <v>4</v>
      </c>
      <c r="I54" s="53">
        <f t="shared" si="12"/>
        <v>2</v>
      </c>
      <c r="J54" s="53">
        <f t="shared" si="12"/>
        <v>9</v>
      </c>
      <c r="K54" s="53">
        <f t="shared" si="12"/>
        <v>4</v>
      </c>
      <c r="L54" s="53">
        <f t="shared" si="12"/>
        <v>11</v>
      </c>
      <c r="M54" s="53">
        <f t="shared" si="12"/>
        <v>7</v>
      </c>
      <c r="N54" s="53">
        <f t="shared" si="12"/>
        <v>8</v>
      </c>
      <c r="O54" s="53">
        <f t="shared" si="12"/>
        <v>14</v>
      </c>
      <c r="P54" s="53">
        <f t="shared" si="12"/>
        <v>12</v>
      </c>
      <c r="Q54" s="53">
        <f t="shared" si="12"/>
        <v>4</v>
      </c>
      <c r="R54" s="28">
        <f t="shared" si="12"/>
        <v>90</v>
      </c>
      <c r="S54" s="29">
        <f t="shared" si="8"/>
        <v>0.05518087063</v>
      </c>
    </row>
    <row r="55" ht="14.25" customHeight="1">
      <c r="A55" s="24"/>
      <c r="B55" s="24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27">
        <f>SUM(D55:Q55)</f>
        <v>0</v>
      </c>
      <c r="S55" s="29">
        <f t="shared" si="8"/>
        <v>0</v>
      </c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0" t="str">
        <f>Fluxo!A2</f>
        <v>TOTAL</v>
      </c>
      <c r="F1" s="60">
        <v>2.0</v>
      </c>
      <c r="G1" t="str">
        <f t="array" ref="G1:G19">TRANSPOSE(Dados!2:2)</f>
        <v/>
      </c>
    </row>
    <row r="2">
      <c r="F2" s="60">
        <v>3.0</v>
      </c>
      <c r="G2" t="s">
        <v>18</v>
      </c>
    </row>
    <row r="3">
      <c r="A3" t="str">
        <f>Dados!B3</f>
        <v>Jaguaribe</v>
      </c>
      <c r="B3" t="str">
        <f>Dados!C3</f>
        <v>Biquinha</v>
      </c>
      <c r="F3" s="60">
        <v>4.0</v>
      </c>
      <c r="G3" t="s">
        <v>19</v>
      </c>
      <c r="Q3">
        <f>HLOOKUP($A$1,Dados!$D$2:$S$14,F1,0)</f>
        <v>171</v>
      </c>
    </row>
    <row r="4">
      <c r="A4" t="str">
        <f>Dados!B4</f>
        <v>Jaguaribe</v>
      </c>
      <c r="B4" t="str">
        <f>Dados!C4</f>
        <v>Forte Orange</v>
      </c>
      <c r="F4" s="60">
        <v>5.0</v>
      </c>
      <c r="G4">
        <v>6.0</v>
      </c>
      <c r="Q4">
        <f>HLOOKUP($A$1,Dados!$D$2:$S$14,F2,0)</f>
        <v>306</v>
      </c>
    </row>
    <row r="5">
      <c r="A5" t="str">
        <f>Dados!B5</f>
        <v>Jaguaribe</v>
      </c>
      <c r="B5" t="str">
        <f>Dados!C5</f>
        <v>Mar</v>
      </c>
      <c r="F5" s="60">
        <v>6.0</v>
      </c>
      <c r="G5">
        <v>7.0</v>
      </c>
      <c r="Q5">
        <f>HLOOKUP($A$1,Dados!$D$2:$S$14,F3,0)</f>
        <v>32</v>
      </c>
    </row>
    <row r="6">
      <c r="A6" t="str">
        <f>Dados!B6</f>
        <v>Mar</v>
      </c>
      <c r="B6" t="str">
        <f>Dados!C6</f>
        <v>Jaguaribe</v>
      </c>
      <c r="F6" s="60">
        <v>7.0</v>
      </c>
      <c r="G6">
        <v>8.0</v>
      </c>
      <c r="Q6">
        <f>HLOOKUP($A$1,Dados!$D$2:$S$14,F4,0)</f>
        <v>56</v>
      </c>
    </row>
    <row r="7">
      <c r="A7" t="str">
        <f>Dados!B7</f>
        <v>Mar</v>
      </c>
      <c r="B7" t="str">
        <f>Dados!C7</f>
        <v>Biquinha</v>
      </c>
      <c r="F7" s="60">
        <v>8.0</v>
      </c>
      <c r="G7">
        <v>9.0</v>
      </c>
      <c r="Q7">
        <f>HLOOKUP($A$1,Dados!$D$2:$S$14,F5,0)</f>
        <v>61</v>
      </c>
    </row>
    <row r="8">
      <c r="A8" t="str">
        <f>Dados!B8</f>
        <v>Mar</v>
      </c>
      <c r="B8" t="str">
        <f>Dados!C8</f>
        <v>Forte Orange</v>
      </c>
      <c r="F8" s="60">
        <v>9.0</v>
      </c>
      <c r="G8">
        <v>10.0</v>
      </c>
      <c r="Q8">
        <f>HLOOKUP($A$1,Dados!$D$2:$S$14,F6,0)</f>
        <v>58</v>
      </c>
    </row>
    <row r="9">
      <c r="A9" t="str">
        <f>Dados!B9</f>
        <v>Forte Orange</v>
      </c>
      <c r="B9" t="str">
        <f>Dados!C9</f>
        <v>Mar</v>
      </c>
      <c r="F9" s="60">
        <v>10.0</v>
      </c>
      <c r="G9">
        <v>11.0</v>
      </c>
      <c r="Q9">
        <f>HLOOKUP($A$1,Dados!$D$2:$S$14,F7,0)</f>
        <v>54</v>
      </c>
    </row>
    <row r="10">
      <c r="A10" t="str">
        <f>Dados!B10</f>
        <v>Forte Orange</v>
      </c>
      <c r="B10" t="str">
        <f>Dados!C10</f>
        <v>Jaguaribe</v>
      </c>
      <c r="F10" s="60">
        <v>11.0</v>
      </c>
      <c r="G10">
        <v>12.0</v>
      </c>
      <c r="Q10">
        <f>HLOOKUP($A$1,Dados!$D$2:$S$14,F8,0)</f>
        <v>345</v>
      </c>
    </row>
    <row r="11">
      <c r="A11" t="str">
        <f>Dados!B11</f>
        <v>Forte Orange</v>
      </c>
      <c r="B11" t="str">
        <f>Dados!C11</f>
        <v>Biquinha</v>
      </c>
      <c r="F11" s="60">
        <v>12.0</v>
      </c>
      <c r="G11">
        <v>13.0</v>
      </c>
      <c r="Q11">
        <f>HLOOKUP($A$1,Dados!$D$2:$S$14,F9,0)</f>
        <v>165</v>
      </c>
    </row>
    <row r="12">
      <c r="A12" t="str">
        <f>Dados!B12</f>
        <v>Biquinha</v>
      </c>
      <c r="B12" t="str">
        <f>Dados!C12</f>
        <v>Forte Orange</v>
      </c>
      <c r="F12" s="60">
        <v>13.0</v>
      </c>
      <c r="G12">
        <v>14.0</v>
      </c>
      <c r="Q12">
        <f>HLOOKUP($A$1,Dados!$D$2:$S$14,F10,0)</f>
        <v>160</v>
      </c>
    </row>
    <row r="13">
      <c r="A13" t="str">
        <f>Dados!B13</f>
        <v>Biquinha</v>
      </c>
      <c r="B13" t="str">
        <f>Dados!C13</f>
        <v>Mar</v>
      </c>
      <c r="G13">
        <v>15.0</v>
      </c>
      <c r="Q13">
        <f>HLOOKUP($A$1,Dados!$D$2:$S$14,F11,0)</f>
        <v>63</v>
      </c>
    </row>
    <row r="14">
      <c r="A14" t="str">
        <f>Dados!B14</f>
        <v>Biquinha</v>
      </c>
      <c r="B14" t="str">
        <f>Dados!C14</f>
        <v>Jaguaribe</v>
      </c>
      <c r="G14">
        <v>16.0</v>
      </c>
      <c r="Q14">
        <f>HLOOKUP($A$1,Dados!$D$2:$S$14,F12,0)</f>
        <v>160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61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2" t="s">
        <v>51</v>
      </c>
    </row>
    <row r="2">
      <c r="A2" s="63" t="s">
        <v>52</v>
      </c>
      <c r="B2" s="64">
        <f>Dados!D2</f>
        <v>6</v>
      </c>
      <c r="C2" s="64">
        <f>Dados!E2</f>
        <v>7</v>
      </c>
      <c r="D2" s="64">
        <f>Dados!F2</f>
        <v>8</v>
      </c>
      <c r="E2" s="64">
        <f>Dados!G2</f>
        <v>9</v>
      </c>
      <c r="F2" s="64">
        <f>Dados!H2</f>
        <v>10</v>
      </c>
      <c r="G2" s="64">
        <f>Dados!I2</f>
        <v>11</v>
      </c>
      <c r="H2" s="64">
        <f>Dados!J2</f>
        <v>12</v>
      </c>
      <c r="I2" s="64">
        <f>Dados!K2</f>
        <v>13</v>
      </c>
      <c r="J2" s="64">
        <f>Dados!L2</f>
        <v>14</v>
      </c>
      <c r="K2" s="64">
        <f>Dados!M2</f>
        <v>15</v>
      </c>
      <c r="L2" s="64">
        <f>Dados!N2</f>
        <v>16</v>
      </c>
      <c r="M2" s="64">
        <f>Dados!O2</f>
        <v>17</v>
      </c>
      <c r="N2" s="64">
        <f>Dados!P2</f>
        <v>18</v>
      </c>
      <c r="O2" s="64">
        <f>Dados!Q2</f>
        <v>19</v>
      </c>
    </row>
    <row r="3">
      <c r="A3" s="65" t="s">
        <v>53</v>
      </c>
      <c r="B3" s="66">
        <f>Dados!D15-B4-B5</f>
        <v>67</v>
      </c>
      <c r="C3" s="66">
        <f>Dados!E15-C4-C5</f>
        <v>91</v>
      </c>
      <c r="D3" s="66">
        <f>Dados!F15-D4-D5</f>
        <v>133</v>
      </c>
      <c r="E3" s="66">
        <f>Dados!G15-E4-E5</f>
        <v>100</v>
      </c>
      <c r="F3" s="66">
        <f>Dados!H15-F4-F5</f>
        <v>86</v>
      </c>
      <c r="G3" s="66">
        <f>Dados!I15-G4-G5</f>
        <v>94</v>
      </c>
      <c r="H3" s="66">
        <f>Dados!J15-H4-H5</f>
        <v>70</v>
      </c>
      <c r="I3" s="66">
        <f>Dados!K15-I4-I5</f>
        <v>49</v>
      </c>
      <c r="J3" s="66">
        <f>Dados!L15-J4-J5</f>
        <v>76</v>
      </c>
      <c r="K3" s="66">
        <f>Dados!M15-K4-K5</f>
        <v>78</v>
      </c>
      <c r="L3" s="66">
        <f>Dados!N15-L4-L5</f>
        <v>106</v>
      </c>
      <c r="M3" s="66">
        <f>Dados!O15-M4-M5</f>
        <v>124</v>
      </c>
      <c r="N3" s="66">
        <f>Dados!P15-N4-N5</f>
        <v>77</v>
      </c>
      <c r="O3" s="66">
        <f>Dados!Q15-O4-O5</f>
        <v>41</v>
      </c>
    </row>
    <row r="4">
      <c r="A4" s="63" t="s">
        <v>54</v>
      </c>
      <c r="B4" s="64">
        <f>Dados!D20</f>
        <v>10</v>
      </c>
      <c r="C4" s="64">
        <f>Dados!E20</f>
        <v>21</v>
      </c>
      <c r="D4" s="64">
        <f>Dados!F20</f>
        <v>39</v>
      </c>
      <c r="E4" s="64">
        <f>Dados!G20</f>
        <v>35</v>
      </c>
      <c r="F4" s="64">
        <f>Dados!H20</f>
        <v>28</v>
      </c>
      <c r="G4" s="64">
        <f>Dados!I20</f>
        <v>34</v>
      </c>
      <c r="H4" s="64">
        <f>Dados!J20</f>
        <v>17</v>
      </c>
      <c r="I4" s="64">
        <f>Dados!K20</f>
        <v>11</v>
      </c>
      <c r="J4" s="67">
        <f>Dados!L20</f>
        <v>22</v>
      </c>
      <c r="K4" s="64">
        <f>Dados!M20</f>
        <v>19</v>
      </c>
      <c r="L4" s="64">
        <f>Dados!N20</f>
        <v>16</v>
      </c>
      <c r="M4" s="64">
        <f>Dados!O20</f>
        <v>18</v>
      </c>
      <c r="N4" s="64">
        <f>Dados!P20</f>
        <v>12</v>
      </c>
      <c r="O4" s="64">
        <f>Dados!Q20</f>
        <v>7</v>
      </c>
    </row>
    <row r="5">
      <c r="A5" s="65" t="s">
        <v>9</v>
      </c>
      <c r="B5" s="68">
        <f>Dados!D21</f>
        <v>4</v>
      </c>
      <c r="C5" s="68">
        <f>Dados!E21</f>
        <v>15</v>
      </c>
      <c r="D5" s="68">
        <f>Dados!F21</f>
        <v>4</v>
      </c>
      <c r="E5" s="68">
        <f>Dados!G21</f>
        <v>8</v>
      </c>
      <c r="F5" s="68">
        <f>Dados!H21</f>
        <v>14</v>
      </c>
      <c r="G5" s="68">
        <f>Dados!I21</f>
        <v>9</v>
      </c>
      <c r="H5" s="68">
        <f>Dados!J21</f>
        <v>16</v>
      </c>
      <c r="I5" s="68">
        <f>Dados!K21</f>
        <v>8</v>
      </c>
      <c r="J5" s="68">
        <f>Dados!L21</f>
        <v>8</v>
      </c>
      <c r="K5" s="68">
        <f>Dados!M21</f>
        <v>8</v>
      </c>
      <c r="L5" s="68">
        <f>Dados!N21</f>
        <v>13</v>
      </c>
      <c r="M5" s="68">
        <f>Dados!O21</f>
        <v>20</v>
      </c>
      <c r="N5" s="68">
        <f>Dados!P21</f>
        <v>15</v>
      </c>
      <c r="O5" s="68">
        <f>Dados!Q21</f>
        <v>8</v>
      </c>
    </row>
    <row r="7">
      <c r="A7" s="69" t="s">
        <v>55</v>
      </c>
    </row>
    <row r="8">
      <c r="A8" s="70" t="s">
        <v>56</v>
      </c>
      <c r="B8" s="64">
        <v>6.0</v>
      </c>
      <c r="C8" s="64">
        <v>7.0</v>
      </c>
      <c r="D8" s="64">
        <v>8.0</v>
      </c>
      <c r="E8" s="64">
        <v>9.0</v>
      </c>
      <c r="F8" s="64">
        <v>10.0</v>
      </c>
      <c r="G8" s="64">
        <v>11.0</v>
      </c>
      <c r="H8" s="64">
        <v>12.0</v>
      </c>
      <c r="I8" s="64">
        <v>13.0</v>
      </c>
      <c r="J8" s="64">
        <v>14.0</v>
      </c>
      <c r="K8" s="64">
        <v>15.0</v>
      </c>
      <c r="L8" s="64">
        <v>16.0</v>
      </c>
      <c r="M8" s="64">
        <v>17.0</v>
      </c>
      <c r="N8" s="64">
        <v>18.0</v>
      </c>
      <c r="O8" s="64">
        <v>19.0</v>
      </c>
    </row>
    <row r="9">
      <c r="A9" s="71" t="s">
        <v>54</v>
      </c>
      <c r="B9" s="72">
        <f>B4/Dados!D$15</f>
        <v>0.1234567901</v>
      </c>
      <c r="C9" s="72">
        <f>C4/Dados!E$15</f>
        <v>0.1653543307</v>
      </c>
      <c r="D9" s="72">
        <f>D4/Dados!F$15</f>
        <v>0.2215909091</v>
      </c>
      <c r="E9" s="72">
        <f>E4/Dados!G$15</f>
        <v>0.2447552448</v>
      </c>
      <c r="F9" s="72">
        <f>F4/Dados!H$15</f>
        <v>0.21875</v>
      </c>
      <c r="G9" s="72">
        <f>G4/Dados!I$15</f>
        <v>0.2481751825</v>
      </c>
      <c r="H9" s="72">
        <f>H4/Dados!J$15</f>
        <v>0.1650485437</v>
      </c>
      <c r="I9" s="72">
        <f>I4/Dados!K$15</f>
        <v>0.1617647059</v>
      </c>
      <c r="J9" s="72">
        <f>J4/Dados!L$15</f>
        <v>0.2075471698</v>
      </c>
      <c r="K9" s="72">
        <f>K4/Dados!M$15</f>
        <v>0.180952381</v>
      </c>
      <c r="L9" s="72">
        <f>L4/Dados!N$15</f>
        <v>0.1185185185</v>
      </c>
      <c r="M9" s="72">
        <f>M4/Dados!O$15</f>
        <v>0.1111111111</v>
      </c>
      <c r="N9" s="72">
        <f>N4/Dados!P$15</f>
        <v>0.1153846154</v>
      </c>
      <c r="O9" s="72">
        <f>O4/Dados!Q$15</f>
        <v>0.125</v>
      </c>
    </row>
    <row r="10">
      <c r="A10" s="70" t="s">
        <v>9</v>
      </c>
      <c r="B10" s="73">
        <f>B5/Dados!D$15</f>
        <v>0.04938271605</v>
      </c>
      <c r="C10" s="73">
        <f>C5/Dados!E$15</f>
        <v>0.1181102362</v>
      </c>
      <c r="D10" s="73">
        <f>D5/Dados!F$15</f>
        <v>0.02272727273</v>
      </c>
      <c r="E10" s="73">
        <f>E5/Dados!G$15</f>
        <v>0.05594405594</v>
      </c>
      <c r="F10" s="73">
        <f>F5/Dados!H$15</f>
        <v>0.109375</v>
      </c>
      <c r="G10" s="73">
        <f>G5/Dados!I$15</f>
        <v>0.06569343066</v>
      </c>
      <c r="H10" s="73">
        <f>H5/Dados!J$15</f>
        <v>0.1553398058</v>
      </c>
      <c r="I10" s="73">
        <f>I5/Dados!K$15</f>
        <v>0.1176470588</v>
      </c>
      <c r="J10" s="73">
        <f>J5/Dados!L$15</f>
        <v>0.07547169811</v>
      </c>
      <c r="K10" s="73">
        <f>K5/Dados!M$15</f>
        <v>0.07619047619</v>
      </c>
      <c r="L10" s="73">
        <f>L5/Dados!N$15</f>
        <v>0.0962962963</v>
      </c>
      <c r="M10" s="73">
        <f>M5/Dados!O$15</f>
        <v>0.1234567901</v>
      </c>
      <c r="N10" s="73">
        <f>N5/Dados!P$15</f>
        <v>0.1442307692</v>
      </c>
      <c r="O10" s="73">
        <f>O5/Dados!Q$15</f>
        <v>0.1428571429</v>
      </c>
    </row>
    <row r="12">
      <c r="A12" s="74" t="str">
        <f>Dados!C19</f>
        <v>Característica</v>
      </c>
      <c r="B12" s="75" t="str">
        <f>Dados!S19</f>
        <v>%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</row>
    <row r="13">
      <c r="A13" s="74" t="str">
        <f>Dados!C20</f>
        <v>Mulher</v>
      </c>
      <c r="B13" s="75">
        <f>Dados!S20</f>
        <v>0.1771919068</v>
      </c>
    </row>
    <row r="14">
      <c r="A14" s="74" t="str">
        <f>Dados!C21</f>
        <v>Crianças e adolescentes</v>
      </c>
      <c r="B14" s="75">
        <f>Dados!S21</f>
        <v>0.09196811772</v>
      </c>
    </row>
    <row r="15">
      <c r="A15" s="74" t="str">
        <f>Dados!C22</f>
        <v>Capacete</v>
      </c>
      <c r="B15" s="75">
        <f>Dados!S22</f>
        <v>0.003065603924</v>
      </c>
    </row>
    <row r="16">
      <c r="A16" s="74" t="s">
        <v>11</v>
      </c>
      <c r="B16" s="75">
        <f>Dados!S51</f>
        <v>0.02513795218</v>
      </c>
    </row>
    <row r="17">
      <c r="A17" s="74" t="str">
        <f>Dados!C35</f>
        <v>Dados qualitativos das observações</v>
      </c>
      <c r="B17" s="74" t="str">
        <f>Dados!S35</f>
        <v/>
      </c>
    </row>
    <row r="18">
      <c r="A18" s="74" t="str">
        <f>Dados!C54</f>
        <v>Contramão</v>
      </c>
      <c r="B18" s="75">
        <f>Dados!S54</f>
        <v>0.05518087063</v>
      </c>
    </row>
    <row r="19">
      <c r="A19" s="74" t="str">
        <f>Dados!C32</f>
        <v>Calçada</v>
      </c>
      <c r="B19" s="75">
        <f>Dados!S32</f>
        <v>0.06499080319</v>
      </c>
    </row>
    <row r="20">
      <c r="A20" s="74" t="str">
        <f>Dados!C52</f>
        <v>Cargueiras</v>
      </c>
      <c r="B20" s="75">
        <f>Dados!S52</f>
        <v>0.2348252606</v>
      </c>
    </row>
    <row r="21">
      <c r="A21" s="76"/>
      <c r="B21" s="76"/>
    </row>
    <row r="22">
      <c r="A22" s="76"/>
      <c r="B22" s="76"/>
    </row>
    <row r="23">
      <c r="A23" s="76"/>
      <c r="B23" s="76"/>
    </row>
    <row r="24">
      <c r="A24" s="76"/>
      <c r="B24" s="76"/>
    </row>
    <row r="25">
      <c r="A25" s="76"/>
      <c r="B25" s="76"/>
    </row>
    <row r="26">
      <c r="A26" s="76"/>
      <c r="B26" s="76"/>
    </row>
    <row r="27">
      <c r="A27" s="76"/>
      <c r="B27" s="76"/>
    </row>
    <row r="28">
      <c r="A28" s="76"/>
      <c r="B28" s="76"/>
    </row>
    <row r="29">
      <c r="A29" s="76"/>
      <c r="B29" s="76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77" t="s">
        <v>57</v>
      </c>
      <c r="B1" s="78"/>
      <c r="C1" s="79"/>
      <c r="D1" s="80"/>
      <c r="E1" s="81" t="str">
        <f>UPPER(CONFFLUXO!A3)</f>
        <v>JAGUARIBE</v>
      </c>
      <c r="F1" s="78"/>
      <c r="G1" s="79"/>
      <c r="H1" s="82"/>
      <c r="I1" s="82"/>
      <c r="J1" s="82"/>
      <c r="K1" s="82"/>
    </row>
    <row r="2" ht="22.5" customHeight="1">
      <c r="A2" s="77" t="s">
        <v>20</v>
      </c>
      <c r="B2" s="78"/>
      <c r="C2" s="79"/>
      <c r="D2" s="80"/>
      <c r="E2" s="83">
        <f>SUM(E3:G3)</f>
        <v>509</v>
      </c>
      <c r="F2" s="78"/>
      <c r="G2" s="79"/>
      <c r="H2" s="82"/>
      <c r="I2" s="82"/>
      <c r="J2" s="82"/>
      <c r="K2" s="82"/>
    </row>
    <row r="3" ht="22.5" customHeight="1">
      <c r="A3" s="84"/>
      <c r="B3" s="84"/>
      <c r="C3" s="84"/>
      <c r="D3" s="85"/>
      <c r="E3" s="86">
        <f>CONFFLUXO!Q3</f>
        <v>171</v>
      </c>
      <c r="F3" s="86">
        <f>CONFFLUXO!Q4</f>
        <v>306</v>
      </c>
      <c r="G3" s="86">
        <f>CONFFLUXO!Q5</f>
        <v>32</v>
      </c>
      <c r="H3" s="82"/>
      <c r="I3" s="82"/>
      <c r="J3" s="82"/>
      <c r="K3" s="82"/>
    </row>
    <row r="4" ht="25.5" customHeight="1">
      <c r="A4" s="87"/>
      <c r="B4" s="87"/>
      <c r="C4" s="84"/>
      <c r="D4" s="84"/>
      <c r="E4" s="82"/>
      <c r="F4" s="82"/>
      <c r="G4" s="82"/>
      <c r="H4" s="88"/>
      <c r="I4" s="88"/>
      <c r="J4" s="89"/>
      <c r="K4" s="89"/>
    </row>
    <row r="5" ht="71.25" customHeight="1">
      <c r="A5" s="90" t="str">
        <f>UPPER(CONFFLUXO!A12)</f>
        <v>BIQUINHA</v>
      </c>
      <c r="B5" s="91">
        <f>SUM(C5:C7)</f>
        <v>383</v>
      </c>
      <c r="C5" s="92">
        <f>CONFFLUXO!Q14</f>
        <v>160</v>
      </c>
      <c r="D5" s="84"/>
      <c r="E5" s="82"/>
      <c r="F5" s="82"/>
      <c r="G5" s="82"/>
      <c r="H5" s="88"/>
      <c r="I5" s="93">
        <f>CONFFLUXO!Q6</f>
        <v>56</v>
      </c>
      <c r="J5" s="94">
        <f>SUM(I5:I7)</f>
        <v>175</v>
      </c>
      <c r="K5" s="95" t="str">
        <f>UPPER(CONFFLUXO!A6)</f>
        <v>MAR</v>
      </c>
    </row>
    <row r="6" ht="71.25" customHeight="1">
      <c r="A6" s="96"/>
      <c r="B6" s="96"/>
      <c r="C6" s="92">
        <f>CONFFLUXO!Q13</f>
        <v>63</v>
      </c>
      <c r="D6" s="84"/>
      <c r="E6" s="82"/>
      <c r="F6" s="97">
        <f>SUM(E3:G3,I5:I7,E9:G9,C5:C7)</f>
        <v>1631</v>
      </c>
      <c r="G6" s="82"/>
      <c r="H6" s="88"/>
      <c r="I6" s="93">
        <f>CONFFLUXO!Q7</f>
        <v>61</v>
      </c>
      <c r="J6" s="96"/>
      <c r="K6" s="96"/>
    </row>
    <row r="7" ht="71.25" customHeight="1">
      <c r="A7" s="98"/>
      <c r="B7" s="98"/>
      <c r="C7" s="92">
        <f>CONFFLUXO!Q12</f>
        <v>160</v>
      </c>
      <c r="D7" s="84"/>
      <c r="E7" s="82"/>
      <c r="F7" s="82"/>
      <c r="G7" s="82"/>
      <c r="H7" s="88"/>
      <c r="I7" s="93">
        <f>CONFFLUXO!Q8</f>
        <v>58</v>
      </c>
      <c r="J7" s="98"/>
      <c r="K7" s="98"/>
    </row>
    <row r="8" ht="27.0" customHeight="1">
      <c r="A8" s="84"/>
      <c r="B8" s="84"/>
      <c r="C8" s="84"/>
      <c r="D8" s="84"/>
      <c r="E8" s="82"/>
      <c r="F8" s="82"/>
      <c r="G8" s="82"/>
      <c r="H8" s="82"/>
      <c r="I8" s="82"/>
      <c r="J8" s="82"/>
      <c r="K8" s="82"/>
    </row>
    <row r="9" ht="22.5" customHeight="1">
      <c r="A9" s="84"/>
      <c r="B9" s="84"/>
      <c r="C9" s="99"/>
      <c r="D9" s="99"/>
      <c r="E9" s="100">
        <f>CONFFLUXO!Q11</f>
        <v>165</v>
      </c>
      <c r="F9" s="100">
        <f>CONFFLUXO!Q10</f>
        <v>345</v>
      </c>
      <c r="G9" s="100">
        <f>CONFFLUXO!Q9</f>
        <v>54</v>
      </c>
      <c r="H9" s="82"/>
      <c r="I9" s="82"/>
      <c r="J9" s="82"/>
      <c r="K9" s="82"/>
    </row>
    <row r="10" ht="22.5" customHeight="1">
      <c r="A10" s="84"/>
      <c r="B10" s="84"/>
      <c r="C10" s="84"/>
      <c r="D10" s="84"/>
      <c r="E10" s="101">
        <f>SUM(E9:G9)</f>
        <v>564</v>
      </c>
      <c r="F10" s="78"/>
      <c r="G10" s="79"/>
      <c r="H10" s="82"/>
      <c r="I10" s="82"/>
      <c r="J10" s="82"/>
      <c r="K10" s="82"/>
    </row>
    <row r="11" ht="22.5" customHeight="1">
      <c r="A11" s="84"/>
      <c r="B11" s="84"/>
      <c r="C11" s="84"/>
      <c r="D11" s="84"/>
      <c r="E11" s="81" t="str">
        <f>UPPER(CONFFLUXO!A9)</f>
        <v>FORTE ORANGE</v>
      </c>
      <c r="F11" s="78"/>
      <c r="G11" s="79"/>
      <c r="H11" s="82"/>
      <c r="I11" s="82"/>
      <c r="J11" s="82"/>
      <c r="K11" s="102">
        <f>MAX(3:3,I:I,9:9,C:C)</f>
        <v>345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58</v>
      </c>
      <c r="B1" s="7"/>
    </row>
    <row r="2">
      <c r="A2" s="4" t="s">
        <v>59</v>
      </c>
      <c r="B2" s="7"/>
    </row>
    <row r="3">
      <c r="A3" s="4" t="s">
        <v>60</v>
      </c>
      <c r="B3" s="7"/>
    </row>
    <row r="4">
      <c r="A4" s="4" t="s">
        <v>61</v>
      </c>
      <c r="B4" s="7"/>
    </row>
  </sheetData>
  <drawing r:id="rId1"/>
</worksheet>
</file>