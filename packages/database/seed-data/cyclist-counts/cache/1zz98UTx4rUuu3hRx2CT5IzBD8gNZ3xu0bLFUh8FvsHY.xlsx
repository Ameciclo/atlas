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Dados" sheetId="2" r:id="rId6"/>
    <sheet state="hidden" name="CONFFLUXO" sheetId="3" r:id="rId7"/>
    <sheet state="visible" name="Gráficos" sheetId="4" r:id="rId8"/>
    <sheet state="visible" name="Fluxo" sheetId="5" r:id="rId9"/>
    <sheet state="visible" name="Coordenada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47">
      <text>
        <t xml:space="preserve">PTINETE ELÉTRICO</t>
      </text>
    </comment>
    <comment authorId="0" ref="D56">
      <text>
        <t xml:space="preserve">CPOR</t>
      </text>
    </comment>
    <comment authorId="0" ref="G56">
      <text>
        <t xml:space="preserve">DOBRÁVEL</t>
      </text>
    </comment>
    <comment authorId="0" ref="J56">
      <text>
        <t xml:space="preserve">DOBRÁVEL</t>
      </text>
    </comment>
    <comment authorId="0" ref="O56">
      <text>
        <t xml:space="preserve">BMX
</t>
      </text>
    </comment>
    <comment authorId="0" ref="Q56">
      <text>
        <t xml:space="preserve">1 - Grau
1- LONGJOHN</t>
      </text>
    </comment>
  </commentList>
</comments>
</file>

<file path=xl/sharedStrings.xml><?xml version="1.0" encoding="utf-8"?>
<sst xmlns="http://schemas.openxmlformats.org/spreadsheetml/2006/main" count="88" uniqueCount="63">
  <si>
    <t>Cruzamento</t>
  </si>
  <si>
    <t>Av.17 de Agosto x Rua Alfredo Fernandes</t>
  </si>
  <si>
    <t>Data</t>
  </si>
  <si>
    <t>Coordenadas Geográficas</t>
  </si>
  <si>
    <t>-8.0365011,-34.9142649</t>
  </si>
  <si>
    <t>Relatório</t>
  </si>
  <si>
    <t>2024.04.11 - Relatório - Av.17 de Agosto x Rua Alfredo Fernandes.docx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</si>
  <si>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</si>
  <si>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</si>
  <si>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</si>
  <si>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</si>
  <si>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</si>
  <si>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</si>
  <si>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</si>
  <si>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</si>
  <si>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</si>
  <si>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</si>
  <si>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</si>
  <si>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</si>
  <si>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</si>
  <si>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</si>
  <si>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</si>
  <si>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Alfredo Fernandes</t>
  </si>
  <si>
    <t>Parnamirim</t>
  </si>
  <si>
    <t>Vintém</t>
  </si>
  <si>
    <t>Casa Forte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</si>
  <si>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</si>
  <si>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</si>
  <si>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</si>
  <si>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</si>
  <si>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</si>
  <si>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</si>
  <si>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</si>
  <si>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</si>
  <si>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</si>
  <si>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</si>
  <si>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</si>
  <si>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</si>
  <si>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</si>
  <si>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</si>
  <si>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</si>
  <si>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</si>
  <si>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</si>
  <si>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</si>
  <si>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</si>
  <si>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</si>
  <si>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</si>
  <si>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</si>
  <si>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Ciclomotor</t>
  </si>
  <si>
    <t>Ciclofaixa ("agua fria")</t>
  </si>
  <si>
    <t>Ciclofaixa ("encruzilhada")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</si>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</sst>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0.0"/>
      <color rgb="FF000000"/>
      <name val="Arial"/>
      <scheme val="minor"/>
    </font>
    <font>
      <b/>
      <sz val="12.0"/>
      <color rgb="FFFFFFFF"/>
      <name val="Ubuntu"/>
    </font>
    <font>
      <sz val="12.0"/>
      <color theme="1"/>
      <name val="Ubuntu"/>
    </font>
    <font>
      <u/>
      <sz val="12.0"/>
      <color rgb="FF0000FF"/>
      <name val="Ubuntu"/>
    </font>
    <font>
      <color theme="1"/>
      <name val="Arial"/>
    </font>
    <font>
      <b/>
      <sz val="12.0"/>
      <color rgb="FF000000"/>
      <name val="Ubuntu"/>
    </font>
    <font>
      <sz val="12.0"/>
      <color rgb="FF000000"/>
      <name val="Ubuntu"/>
    </font>
    <font>
      <color theme="1"/>
      <name val="Arial"/>
      <scheme val="minor"/>
    </font>
    <font>
      <sz val="14.0"/>
      <color theme="1"/>
      <name val="Ubuntu"/>
    </font>
    <font/>
    <font>
      <b/>
      <sz val="14.0"/>
      <color rgb="FFFFFFFF"/>
      <name val="Ubuntu"/>
    </font>
    <font>
      <b/>
      <sz val="14.0"/>
      <color theme="1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164" xfId="0" applyAlignment="1" applyFont="1" applyNumberFormat="1">
      <alignment horizontal="right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2" fontId="4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ill="1" applyFont="1">
      <alignment shrinkToFit="0" vertical="bottom" wrapText="1"/>
    </xf>
    <xf borderId="0" fillId="3" fontId="1" numFmtId="0" xfId="0" applyAlignment="1" applyFont="1">
      <alignment horizontal="center" shrinkToFit="0" wrapText="1"/>
    </xf>
    <xf borderId="0" fillId="2" fontId="1" numFmtId="164" xfId="0" applyAlignment="1" applyFont="1" applyNumberFormat="1">
      <alignment horizontal="center" shrinkToFit="0" wrapText="1"/>
    </xf>
    <xf borderId="0" fillId="4" fontId="5" numFmtId="0" xfId="0" applyAlignment="1" applyFill="1" applyFont="1">
      <alignment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horizontal="right" readingOrder="0" shrinkToFit="0" vertical="bottom" wrapText="1"/>
    </xf>
    <xf borderId="0" fillId="4" fontId="6" numFmtId="0" xfId="0" applyAlignment="1" applyFont="1">
      <alignment horizontal="right" shrinkToFit="0" vertical="bottom" wrapText="1"/>
    </xf>
    <xf borderId="0" fillId="4" fontId="6" numFmtId="0" xfId="0" applyAlignment="1" applyFont="1">
      <alignment horizontal="right" readingOrder="0" shrinkToFit="0" vertical="bottom" wrapText="1"/>
    </xf>
    <xf borderId="0" fillId="5" fontId="6" numFmtId="0" xfId="0" applyAlignment="1" applyFill="1" applyFont="1">
      <alignment shrinkToFit="0" vertical="bottom" wrapText="1"/>
    </xf>
    <xf borderId="0" fillId="5" fontId="6" numFmtId="0" xfId="0" applyAlignment="1" applyFont="1">
      <alignment horizontal="right" readingOrder="0" shrinkToFit="0" vertical="bottom" wrapText="1"/>
    </xf>
    <xf borderId="0" fillId="5" fontId="6" numFmtId="0" xfId="0" applyAlignment="1" applyFont="1">
      <alignment horizontal="right" readingOrder="0"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164" xfId="0" applyAlignment="1" applyFont="1" applyNumberFormat="1">
      <alignment shrinkToFit="0" wrapText="1"/>
    </xf>
    <xf borderId="0" fillId="2" fontId="4" numFmtId="10" xfId="0" applyAlignment="1" applyFont="1" applyNumberFormat="1">
      <alignment shrinkToFit="0" vertical="bottom" wrapText="1"/>
    </xf>
    <xf borderId="0" fillId="2" fontId="1" numFmtId="10" xfId="0" applyAlignment="1" applyFont="1" applyNumberFormat="1">
      <alignment shrinkToFit="0" vertical="bottom" wrapText="1"/>
    </xf>
    <xf borderId="0" fillId="2" fontId="1" numFmtId="10" xfId="0" applyAlignment="1" applyFont="1" applyNumberFormat="1">
      <alignment horizontal="center" shrinkToFit="0" wrapText="1"/>
    </xf>
    <xf borderId="0" fillId="4" fontId="4" numFmtId="10" xfId="0" applyAlignment="1" applyFont="1" applyNumberFormat="1">
      <alignment shrinkToFit="0" vertical="bottom" wrapText="1"/>
    </xf>
    <xf borderId="0" fillId="4" fontId="4" numFmtId="10" xfId="0" applyAlignment="1" applyFont="1" applyNumberFormat="1">
      <alignment shrinkToFit="0" wrapText="1"/>
    </xf>
    <xf borderId="0" fillId="4" fontId="4" numFmtId="164" xfId="0" applyAlignment="1" applyFont="1" applyNumberFormat="1">
      <alignment shrinkToFit="0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5" fontId="6" numFmtId="0" xfId="0" applyAlignment="1" applyFont="1">
      <alignment horizontal="right" shrinkToFit="0" vertical="bottom" wrapText="1"/>
    </xf>
    <xf borderId="0" fillId="4" fontId="6" numFmtId="0" xfId="0" applyAlignment="1" applyFont="1">
      <alignment horizontal="right" shrinkToFit="0" vertical="bottom" wrapText="1"/>
    </xf>
    <xf borderId="0" fillId="5" fontId="6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wrapText="1"/>
    </xf>
    <xf borderId="0" fillId="5" fontId="4" numFmtId="0" xfId="0" applyAlignment="1" applyFont="1">
      <alignment horizontal="right" readingOrder="0" shrinkToFit="0" vertical="bottom" wrapText="1"/>
    </xf>
    <xf borderId="0" fillId="0" fontId="6" numFmtId="0" xfId="0" applyAlignment="1" applyFont="1">
      <alignment horizontal="right" readingOrder="0" shrinkToFit="0" vertical="bottom" wrapText="1"/>
    </xf>
    <xf borderId="0" fillId="0" fontId="6" numFmtId="0" xfId="0" applyAlignment="1" applyFont="1">
      <alignment horizontal="right" shrinkToFit="0" vertical="bottom" wrapText="1"/>
    </xf>
    <xf borderId="0" fillId="4" fontId="4" numFmtId="0" xfId="0" applyAlignment="1" applyFont="1">
      <alignment horizontal="right" readingOrder="0"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3" fontId="4" numFmtId="0" xfId="0" applyAlignment="1" applyFont="1">
      <alignment shrinkToFit="0" wrapText="1"/>
    </xf>
    <xf borderId="0" fillId="2" fontId="4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3" fontId="1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4" xfId="0" applyAlignment="1" applyFont="1" applyNumberFormat="1">
      <alignment shrinkToFit="0" wrapText="1"/>
    </xf>
    <xf borderId="0" fillId="6" fontId="7" numFmtId="0" xfId="0" applyAlignment="1" applyFill="1" applyFont="1">
      <alignment horizontal="center" shrinkToFit="0" wrapText="1"/>
    </xf>
    <xf borderId="0" fillId="4" fontId="7" numFmtId="0" xfId="0" applyAlignment="1" applyFont="1">
      <alignment shrinkToFit="0" wrapText="1"/>
    </xf>
    <xf borderId="0" fillId="4" fontId="4" numFmtId="0" xfId="0" applyAlignment="1" applyFont="1">
      <alignment horizontal="right" shrinkToFit="0" vertical="bottom" wrapText="1"/>
    </xf>
    <xf borderId="0" fillId="5" fontId="7" numFmtId="0" xfId="0" applyAlignment="1" applyFont="1">
      <alignment shrinkToFit="0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0" fillId="7" fontId="7" numFmtId="0" xfId="0" applyAlignment="1" applyFill="1" applyFont="1">
      <alignment horizontal="center" shrinkToFit="0" wrapText="1"/>
    </xf>
    <xf borderId="0" fillId="8" fontId="7" numFmtId="0" xfId="0" applyAlignment="1" applyFill="1" applyFont="1">
      <alignment shrinkToFit="0" wrapText="1"/>
    </xf>
    <xf borderId="0" fillId="8" fontId="4" numFmtId="164" xfId="0" applyAlignment="1" applyFont="1" applyNumberFormat="1">
      <alignment horizontal="right" shrinkToFit="0" vertical="bottom" wrapText="1"/>
    </xf>
    <xf borderId="0" fillId="4" fontId="4" numFmtId="164" xfId="0" applyAlignment="1" applyFont="1" applyNumberFormat="1">
      <alignment horizontal="right" shrinkToFit="0" vertical="bottom" wrapText="1"/>
    </xf>
    <xf borderId="0" fillId="0" fontId="7" numFmtId="0" xfId="0" applyAlignment="1" applyFont="1">
      <alignment horizontal="center"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" fillId="0" fontId="8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5" fillId="2" fontId="10" numFmtId="0" xfId="0" applyAlignment="1" applyBorder="1" applyFont="1">
      <alignment horizontal="center" shrinkToFit="0" textRotation="90" vertical="center" wrapText="1"/>
    </xf>
    <xf borderId="5" fillId="3" fontId="10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10" numFmtId="0" xfId="0" applyAlignment="1" applyBorder="1" applyFont="1">
      <alignment horizontal="center" shrinkToFit="0" textRotation="180" vertical="center" wrapText="1"/>
    </xf>
    <xf borderId="5" fillId="2" fontId="10" numFmtId="0" xfId="0" applyAlignment="1" applyBorder="1" applyFont="1">
      <alignment horizontal="center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2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4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560954041"/>
        <c:axId val="921590739"/>
      </c:barChart>
      <c:catAx>
        <c:axId val="560954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921590739"/>
      </c:catAx>
      <c:valAx>
        <c:axId val="921590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6095404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330282460"/>
        <c:axId val="610229157"/>
      </c:barChart>
      <c:catAx>
        <c:axId val="330282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610229157"/>
      </c:catAx>
      <c:valAx>
        <c:axId val="61022915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2824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140568874"/>
        <c:axId val="1085297794"/>
      </c:barChart>
      <c:catAx>
        <c:axId val="11405688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85297794"/>
      </c:catAx>
      <c:valAx>
        <c:axId val="1085297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568874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pPcaFIr3TYlAi0gex_5X2jsY6q0kaMk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0"/>
    <col customWidth="1" min="3" max="6" width="12.63"/>
  </cols>
  <sheetData>
    <row r="1" ht="12.75" customHeight="1">
      <c r="A1" s="1" t="s">
        <v>0</v>
      </c>
      <c r="B1" s="2" t="s">
        <v>1</v>
      </c>
    </row>
    <row r="2" ht="12.75" customHeight="1">
      <c r="A2" s="1" t="s">
        <v>2</v>
      </c>
      <c r="B2" s="2">
        <v>45393.0</v>
      </c>
    </row>
    <row r="3" ht="12.75" customHeight="1">
      <c r="A3" s="1" t="s">
        <v>3</v>
      </c>
      <c r="B3" s="2" t="s">
        <v>4</v>
      </c>
    </row>
    <row r="4" ht="12.75" customHeight="1">
      <c r="A4" s="1" t="s">
        <v>5</v>
      </c>
      <c r="B4" s="3" t="s">
        <v>6</v>
      </c>
    </row>
    <row r="5" ht="12.75" customHeight="1">
      <c r="A5" s="1" t="s">
        <v>7</v>
      </c>
      <c r="B5" s="4">
        <f>Dados!R15</f>
        <v>1698</v>
      </c>
    </row>
    <row r="6" ht="12.75" customHeight="1">
      <c r="A6" s="1" t="s">
        <v>8</v>
      </c>
      <c r="B6" s="4">
        <f>MAX(Dados!D15:Q15)</f>
        <v>203</v>
      </c>
    </row>
    <row r="7" ht="12.75" customHeight="1">
      <c r="A7" s="1" t="s">
        <v>9</v>
      </c>
      <c r="B7" s="2">
        <f>Dados!S20</f>
        <v>0.09776207303</v>
      </c>
    </row>
    <row r="8" ht="12.75" customHeight="1">
      <c r="A8" s="1" t="s">
        <v>10</v>
      </c>
      <c r="B8" s="2">
        <f>Dados!S21</f>
        <v>0.01707891637</v>
      </c>
    </row>
    <row r="9" ht="12.75" customHeight="1">
      <c r="A9" s="1" t="s">
        <v>11</v>
      </c>
      <c r="B9" s="2">
        <f>Dados!S22</f>
        <v>0.0382803298</v>
      </c>
    </row>
    <row r="10" ht="12.75" customHeight="1">
      <c r="A10" s="1" t="s">
        <v>12</v>
      </c>
      <c r="B10" s="2">
        <f>Dados!S23</f>
        <v>0.04358068316</v>
      </c>
    </row>
    <row r="11" ht="12.75" customHeight="1">
      <c r="A11" s="1" t="s">
        <v>13</v>
      </c>
      <c r="B11" s="2">
        <f>Dados!S24</f>
        <v>0.07008244994</v>
      </c>
    </row>
    <row r="12" ht="12.75" customHeight="1">
      <c r="A12" s="1" t="s">
        <v>14</v>
      </c>
      <c r="B12" s="2">
        <f>Dados!S25</f>
        <v>0.03180212014</v>
      </c>
    </row>
    <row r="13" ht="12.75" customHeight="1">
      <c r="A13" s="1" t="s">
        <v>15</v>
      </c>
      <c r="B13" s="2">
        <f>Dados!S26</f>
        <v>0.06124852768</v>
      </c>
    </row>
    <row r="14" ht="12.75" customHeight="1">
      <c r="A14" s="1" t="s">
        <v>16</v>
      </c>
      <c r="B14" s="2">
        <f>Dados!S27</f>
        <v>0.09363957597</v>
      </c>
    </row>
    <row r="15" ht="12.75" customHeight="1">
      <c r="A15" s="1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5"/>
      <c r="B1" s="6" t="s">
        <v>17</v>
      </c>
    </row>
    <row r="2" ht="12.0" customHeight="1">
      <c r="A2" s="5"/>
      <c r="B2" s="7" t="s">
        <v>18</v>
      </c>
      <c r="C2" s="7" t="s">
        <v>19</v>
      </c>
      <c r="D2" s="8">
        <v>6.0</v>
      </c>
      <c r="E2" s="8">
        <v>7.0</v>
      </c>
      <c r="F2" s="8">
        <v>8.0</v>
      </c>
      <c r="G2" s="8">
        <v>9.0</v>
      </c>
      <c r="H2" s="8">
        <v>10.0</v>
      </c>
      <c r="I2" s="8">
        <v>11.0</v>
      </c>
      <c r="J2" s="8">
        <v>12.0</v>
      </c>
      <c r="K2" s="8">
        <v>13.0</v>
      </c>
      <c r="L2" s="8">
        <v>14.0</v>
      </c>
      <c r="M2" s="8">
        <v>15.0</v>
      </c>
      <c r="N2" s="8">
        <v>16.0</v>
      </c>
      <c r="O2" s="8">
        <v>17.0</v>
      </c>
      <c r="P2" s="8">
        <v>18.0</v>
      </c>
      <c r="Q2" s="8">
        <v>19.0</v>
      </c>
      <c r="R2" s="8" t="s">
        <v>20</v>
      </c>
      <c r="S2" s="9" t="s">
        <v>21</v>
      </c>
    </row>
    <row r="3" ht="14.25" customHeight="1">
      <c r="A3" s="5"/>
      <c r="B3" s="10" t="s">
        <v>22</v>
      </c>
      <c r="C3" s="11" t="str">
        <f>B12</f>
        <v>Casa Forte</v>
      </c>
      <c r="D3" s="12">
        <v>1.0</v>
      </c>
      <c r="E3" s="12">
        <v>1.0</v>
      </c>
      <c r="F3" s="13">
        <v>0.0</v>
      </c>
      <c r="G3" s="12">
        <v>0.0</v>
      </c>
      <c r="H3" s="12">
        <v>2.0</v>
      </c>
      <c r="I3" s="13">
        <v>2.0</v>
      </c>
      <c r="J3" s="12">
        <v>2.0</v>
      </c>
      <c r="K3" s="13">
        <v>3.0</v>
      </c>
      <c r="L3" s="12">
        <v>6.0</v>
      </c>
      <c r="M3" s="13">
        <v>4.0</v>
      </c>
      <c r="N3" s="12">
        <v>1.0</v>
      </c>
      <c r="O3" s="14">
        <v>2.0</v>
      </c>
      <c r="P3" s="14">
        <v>2.0</v>
      </c>
      <c r="Q3" s="12">
        <v>6.0</v>
      </c>
      <c r="R3" s="8">
        <f t="shared" ref="R3:R14" si="1">SUM(D3:Q3)</f>
        <v>32</v>
      </c>
      <c r="S3" s="9">
        <f t="shared" ref="S3:S14" si="2">R3/$R$15</f>
        <v>0.01884570082</v>
      </c>
    </row>
    <row r="4" ht="14.25" customHeight="1">
      <c r="A4" s="5"/>
      <c r="B4" s="15" t="str">
        <f>B3</f>
        <v>Alfredo Fernandes</v>
      </c>
      <c r="C4" s="15" t="str">
        <f>B9</f>
        <v>Vintém</v>
      </c>
      <c r="D4" s="16">
        <v>13.0</v>
      </c>
      <c r="E4" s="16">
        <v>16.0</v>
      </c>
      <c r="F4" s="16">
        <v>15.0</v>
      </c>
      <c r="G4" s="16">
        <v>6.0</v>
      </c>
      <c r="H4" s="16">
        <v>12.0</v>
      </c>
      <c r="I4" s="16">
        <v>22.0</v>
      </c>
      <c r="J4" s="16">
        <v>9.0</v>
      </c>
      <c r="K4" s="16">
        <v>14.0</v>
      </c>
      <c r="L4" s="16">
        <v>17.0</v>
      </c>
      <c r="M4" s="16">
        <v>12.0</v>
      </c>
      <c r="N4" s="16">
        <v>32.0</v>
      </c>
      <c r="O4" s="17">
        <v>31.0</v>
      </c>
      <c r="P4" s="17">
        <v>13.0</v>
      </c>
      <c r="Q4" s="16">
        <v>16.0</v>
      </c>
      <c r="R4" s="8">
        <f t="shared" si="1"/>
        <v>228</v>
      </c>
      <c r="S4" s="9">
        <f t="shared" si="2"/>
        <v>0.1342756184</v>
      </c>
    </row>
    <row r="5" ht="14.25" customHeight="1">
      <c r="A5" s="5"/>
      <c r="B5" s="11" t="str">
        <f>B3</f>
        <v>Alfredo Fernandes</v>
      </c>
      <c r="C5" s="11" t="str">
        <f>B6</f>
        <v>Parnamirim</v>
      </c>
      <c r="D5" s="12">
        <v>1.0</v>
      </c>
      <c r="E5" s="12">
        <v>4.0</v>
      </c>
      <c r="F5" s="12">
        <v>2.0</v>
      </c>
      <c r="G5" s="12">
        <v>1.0</v>
      </c>
      <c r="H5" s="12">
        <v>2.0</v>
      </c>
      <c r="I5" s="12">
        <v>1.0</v>
      </c>
      <c r="J5" s="12">
        <v>4.0</v>
      </c>
      <c r="K5" s="13">
        <v>4.0</v>
      </c>
      <c r="L5" s="12">
        <v>6.0</v>
      </c>
      <c r="M5" s="13">
        <v>4.0</v>
      </c>
      <c r="N5" s="12">
        <v>7.0</v>
      </c>
      <c r="O5" s="14">
        <v>8.0</v>
      </c>
      <c r="P5" s="14">
        <v>11.0</v>
      </c>
      <c r="Q5" s="12">
        <v>7.0</v>
      </c>
      <c r="R5" s="8">
        <f t="shared" si="1"/>
        <v>62</v>
      </c>
      <c r="S5" s="9">
        <f t="shared" si="2"/>
        <v>0.03651354535</v>
      </c>
    </row>
    <row r="6" ht="14.25" customHeight="1">
      <c r="A6" s="5"/>
      <c r="B6" s="18" t="s">
        <v>23</v>
      </c>
      <c r="C6" s="15" t="str">
        <f>B3</f>
        <v>Alfredo Fernandes</v>
      </c>
      <c r="D6" s="19">
        <v>1.0</v>
      </c>
      <c r="E6" s="16">
        <v>8.0</v>
      </c>
      <c r="F6" s="16">
        <v>2.0</v>
      </c>
      <c r="G6" s="19">
        <v>2.0</v>
      </c>
      <c r="H6" s="16">
        <v>1.0</v>
      </c>
      <c r="I6" s="16">
        <v>6.0</v>
      </c>
      <c r="J6" s="16">
        <v>3.0</v>
      </c>
      <c r="K6" s="16">
        <v>8.0</v>
      </c>
      <c r="L6" s="16">
        <v>8.0</v>
      </c>
      <c r="M6" s="16">
        <v>6.0</v>
      </c>
      <c r="N6" s="16">
        <v>6.0</v>
      </c>
      <c r="O6" s="17">
        <v>16.0</v>
      </c>
      <c r="P6" s="17">
        <v>9.0</v>
      </c>
      <c r="Q6" s="16">
        <v>5.0</v>
      </c>
      <c r="R6" s="8">
        <f t="shared" si="1"/>
        <v>81</v>
      </c>
      <c r="S6" s="9">
        <f t="shared" si="2"/>
        <v>0.04770318021</v>
      </c>
    </row>
    <row r="7" ht="14.25" customHeight="1">
      <c r="A7" s="5"/>
      <c r="B7" s="11" t="str">
        <f>B6</f>
        <v>Parnamirim</v>
      </c>
      <c r="C7" s="11" t="str">
        <f>B12</f>
        <v>Casa Forte</v>
      </c>
      <c r="D7" s="12">
        <v>27.0</v>
      </c>
      <c r="E7" s="12">
        <v>21.0</v>
      </c>
      <c r="F7" s="12">
        <v>14.0</v>
      </c>
      <c r="G7" s="12">
        <v>12.0</v>
      </c>
      <c r="H7" s="12">
        <v>3.0</v>
      </c>
      <c r="I7" s="12">
        <v>16.0</v>
      </c>
      <c r="J7" s="12">
        <v>23.0</v>
      </c>
      <c r="K7" s="12">
        <v>13.0</v>
      </c>
      <c r="L7" s="12">
        <v>13.0</v>
      </c>
      <c r="M7" s="12">
        <v>9.0</v>
      </c>
      <c r="N7" s="12">
        <v>27.0</v>
      </c>
      <c r="O7" s="14">
        <v>15.0</v>
      </c>
      <c r="P7" s="14">
        <v>13.0</v>
      </c>
      <c r="Q7" s="12">
        <v>12.0</v>
      </c>
      <c r="R7" s="8">
        <f t="shared" si="1"/>
        <v>218</v>
      </c>
      <c r="S7" s="9">
        <f t="shared" si="2"/>
        <v>0.1283863369</v>
      </c>
    </row>
    <row r="8" ht="14.25" customHeight="1">
      <c r="A8" s="5"/>
      <c r="B8" s="15" t="str">
        <f>B6</f>
        <v>Parnamirim</v>
      </c>
      <c r="C8" s="15" t="str">
        <f>B9</f>
        <v>Vintém</v>
      </c>
      <c r="D8" s="16">
        <v>10.0</v>
      </c>
      <c r="E8" s="16">
        <v>9.0</v>
      </c>
      <c r="F8" s="16">
        <v>6.0</v>
      </c>
      <c r="G8" s="16">
        <v>11.0</v>
      </c>
      <c r="H8" s="16">
        <v>11.0</v>
      </c>
      <c r="I8" s="16">
        <v>11.0</v>
      </c>
      <c r="J8" s="16">
        <v>18.0</v>
      </c>
      <c r="K8" s="16">
        <v>17.0</v>
      </c>
      <c r="L8" s="16">
        <v>17.0</v>
      </c>
      <c r="M8" s="19">
        <v>11.0</v>
      </c>
      <c r="N8" s="16">
        <v>33.0</v>
      </c>
      <c r="O8" s="17">
        <v>8.0</v>
      </c>
      <c r="P8" s="17">
        <v>28.0</v>
      </c>
      <c r="Q8" s="16">
        <v>12.0</v>
      </c>
      <c r="R8" s="8">
        <f t="shared" si="1"/>
        <v>202</v>
      </c>
      <c r="S8" s="9">
        <f t="shared" si="2"/>
        <v>0.1189634865</v>
      </c>
    </row>
    <row r="9" ht="14.25" customHeight="1">
      <c r="A9" s="5"/>
      <c r="B9" s="10" t="s">
        <v>24</v>
      </c>
      <c r="C9" s="11" t="str">
        <f>B6</f>
        <v>Parnamirim</v>
      </c>
      <c r="D9" s="12">
        <v>9.0</v>
      </c>
      <c r="E9" s="12">
        <v>18.0</v>
      </c>
      <c r="F9" s="12">
        <v>15.0</v>
      </c>
      <c r="G9" s="12">
        <v>10.0</v>
      </c>
      <c r="H9" s="12">
        <v>6.0</v>
      </c>
      <c r="I9" s="12">
        <v>14.0</v>
      </c>
      <c r="J9" s="12">
        <v>17.0</v>
      </c>
      <c r="K9" s="12">
        <v>12.0</v>
      </c>
      <c r="L9" s="12">
        <v>18.0</v>
      </c>
      <c r="M9" s="12">
        <v>12.0</v>
      </c>
      <c r="N9" s="12">
        <v>9.0</v>
      </c>
      <c r="O9" s="14">
        <v>21.0</v>
      </c>
      <c r="P9" s="14">
        <v>20.0</v>
      </c>
      <c r="Q9" s="12">
        <v>7.0</v>
      </c>
      <c r="R9" s="8">
        <f t="shared" si="1"/>
        <v>188</v>
      </c>
      <c r="S9" s="9">
        <f t="shared" si="2"/>
        <v>0.1107184923</v>
      </c>
    </row>
    <row r="10" ht="14.25" customHeight="1">
      <c r="A10" s="5"/>
      <c r="B10" s="15" t="str">
        <f>B9</f>
        <v>Vintém</v>
      </c>
      <c r="C10" s="15" t="str">
        <f>B3</f>
        <v>Alfredo Fernandes</v>
      </c>
      <c r="D10" s="16">
        <v>13.0</v>
      </c>
      <c r="E10" s="16">
        <v>14.0</v>
      </c>
      <c r="F10" s="16">
        <v>3.0</v>
      </c>
      <c r="G10" s="16">
        <v>8.0</v>
      </c>
      <c r="H10" s="16">
        <v>7.0</v>
      </c>
      <c r="I10" s="16">
        <v>13.0</v>
      </c>
      <c r="J10" s="16">
        <v>7.0</v>
      </c>
      <c r="K10" s="16">
        <v>13.0</v>
      </c>
      <c r="L10" s="16">
        <v>13.0</v>
      </c>
      <c r="M10" s="16">
        <v>8.0</v>
      </c>
      <c r="N10" s="16">
        <v>19.0</v>
      </c>
      <c r="O10" s="17">
        <v>25.0</v>
      </c>
      <c r="P10" s="17">
        <v>10.0</v>
      </c>
      <c r="Q10" s="16">
        <v>5.0</v>
      </c>
      <c r="R10" s="8">
        <f t="shared" si="1"/>
        <v>158</v>
      </c>
      <c r="S10" s="9">
        <f t="shared" si="2"/>
        <v>0.09305064782</v>
      </c>
    </row>
    <row r="11" ht="14.25" customHeight="1">
      <c r="A11" s="5"/>
      <c r="B11" s="11" t="str">
        <f>B9</f>
        <v>Vintém</v>
      </c>
      <c r="C11" s="11" t="str">
        <f>B12</f>
        <v>Casa Forte</v>
      </c>
      <c r="D11" s="12">
        <v>4.0</v>
      </c>
      <c r="E11" s="12">
        <v>7.0</v>
      </c>
      <c r="F11" s="12">
        <v>5.0</v>
      </c>
      <c r="G11" s="12">
        <v>1.0</v>
      </c>
      <c r="H11" s="13">
        <v>6.0</v>
      </c>
      <c r="I11" s="12">
        <v>3.0</v>
      </c>
      <c r="J11" s="12">
        <v>10.0</v>
      </c>
      <c r="K11" s="12">
        <v>2.0</v>
      </c>
      <c r="L11" s="12">
        <v>5.0</v>
      </c>
      <c r="M11" s="12">
        <v>5.0</v>
      </c>
      <c r="N11" s="12">
        <v>5.0</v>
      </c>
      <c r="O11" s="14">
        <v>8.0</v>
      </c>
      <c r="P11" s="14">
        <v>4.0</v>
      </c>
      <c r="Q11" s="12">
        <v>4.0</v>
      </c>
      <c r="R11" s="8">
        <f t="shared" si="1"/>
        <v>69</v>
      </c>
      <c r="S11" s="9">
        <f t="shared" si="2"/>
        <v>0.0406360424</v>
      </c>
    </row>
    <row r="12" ht="14.25" customHeight="1">
      <c r="A12" s="5"/>
      <c r="B12" s="18" t="s">
        <v>25</v>
      </c>
      <c r="C12" s="15" t="str">
        <f>B9</f>
        <v>Vintém</v>
      </c>
      <c r="D12" s="16">
        <v>8.0</v>
      </c>
      <c r="E12" s="16">
        <v>4.0</v>
      </c>
      <c r="F12" s="16">
        <v>5.0</v>
      </c>
      <c r="G12" s="16">
        <v>4.0</v>
      </c>
      <c r="H12" s="16">
        <v>9.0</v>
      </c>
      <c r="I12" s="16">
        <v>10.0</v>
      </c>
      <c r="J12" s="16">
        <v>15.0</v>
      </c>
      <c r="K12" s="16">
        <v>15.0</v>
      </c>
      <c r="L12" s="16">
        <v>14.0</v>
      </c>
      <c r="M12" s="16">
        <v>9.0</v>
      </c>
      <c r="N12" s="16">
        <v>19.0</v>
      </c>
      <c r="O12" s="17">
        <v>10.0</v>
      </c>
      <c r="P12" s="17">
        <v>17.0</v>
      </c>
      <c r="Q12" s="16">
        <v>12.0</v>
      </c>
      <c r="R12" s="8">
        <f t="shared" si="1"/>
        <v>151</v>
      </c>
      <c r="S12" s="9">
        <f t="shared" si="2"/>
        <v>0.08892815077</v>
      </c>
    </row>
    <row r="13" ht="14.25" customHeight="1">
      <c r="A13" s="5"/>
      <c r="B13" s="11" t="str">
        <f>B12</f>
        <v>Casa Forte</v>
      </c>
      <c r="C13" s="11" t="str">
        <f>B6</f>
        <v>Parnamirim</v>
      </c>
      <c r="D13" s="12">
        <v>13.0</v>
      </c>
      <c r="E13" s="12">
        <v>26.0</v>
      </c>
      <c r="F13" s="12">
        <v>6.0</v>
      </c>
      <c r="G13" s="12">
        <v>13.0</v>
      </c>
      <c r="H13" s="12">
        <v>11.0</v>
      </c>
      <c r="I13" s="12">
        <v>14.0</v>
      </c>
      <c r="J13" s="12">
        <v>17.0</v>
      </c>
      <c r="K13" s="12">
        <v>13.0</v>
      </c>
      <c r="L13" s="12">
        <v>16.0</v>
      </c>
      <c r="M13" s="12">
        <v>12.0</v>
      </c>
      <c r="N13" s="12">
        <v>41.0</v>
      </c>
      <c r="O13" s="14">
        <v>41.0</v>
      </c>
      <c r="P13" s="14">
        <v>25.0</v>
      </c>
      <c r="Q13" s="12">
        <v>13.0</v>
      </c>
      <c r="R13" s="8">
        <f t="shared" si="1"/>
        <v>261</v>
      </c>
      <c r="S13" s="9">
        <f t="shared" si="2"/>
        <v>0.1537102473</v>
      </c>
    </row>
    <row r="14" ht="14.25" customHeight="1">
      <c r="A14" s="5"/>
      <c r="B14" s="15" t="str">
        <f>B12</f>
        <v>Casa Forte</v>
      </c>
      <c r="C14" s="15" t="str">
        <f>B3</f>
        <v>Alfredo Fernandes</v>
      </c>
      <c r="D14" s="16">
        <v>1.0</v>
      </c>
      <c r="E14" s="16">
        <v>1.0</v>
      </c>
      <c r="F14" s="16">
        <v>4.0</v>
      </c>
      <c r="G14" s="16">
        <v>0.0</v>
      </c>
      <c r="H14" s="16">
        <v>2.0</v>
      </c>
      <c r="I14" s="16">
        <v>4.0</v>
      </c>
      <c r="J14" s="16">
        <v>5.0</v>
      </c>
      <c r="K14" s="16">
        <v>3.0</v>
      </c>
      <c r="L14" s="16">
        <v>3.0</v>
      </c>
      <c r="M14" s="16">
        <v>3.0</v>
      </c>
      <c r="N14" s="16">
        <v>4.0</v>
      </c>
      <c r="O14" s="17">
        <v>4.0</v>
      </c>
      <c r="P14" s="17">
        <v>8.0</v>
      </c>
      <c r="Q14" s="16">
        <v>6.0</v>
      </c>
      <c r="R14" s="8">
        <f t="shared" si="1"/>
        <v>48</v>
      </c>
      <c r="S14" s="9">
        <f t="shared" si="2"/>
        <v>0.02826855124</v>
      </c>
    </row>
    <row r="15" ht="14.25" customHeight="1">
      <c r="A15" s="5"/>
      <c r="B15" s="20"/>
      <c r="C15" s="7" t="s">
        <v>20</v>
      </c>
      <c r="D15" s="8">
        <f t="shared" ref="D15:Q15" si="3">SUM(D3:D14)</f>
        <v>101</v>
      </c>
      <c r="E15" s="8">
        <f t="shared" si="3"/>
        <v>129</v>
      </c>
      <c r="F15" s="8">
        <f t="shared" si="3"/>
        <v>77</v>
      </c>
      <c r="G15" s="8">
        <f t="shared" si="3"/>
        <v>68</v>
      </c>
      <c r="H15" s="8">
        <f t="shared" si="3"/>
        <v>72</v>
      </c>
      <c r="I15" s="8">
        <f t="shared" si="3"/>
        <v>116</v>
      </c>
      <c r="J15" s="8">
        <f t="shared" si="3"/>
        <v>130</v>
      </c>
      <c r="K15" s="8">
        <f t="shared" si="3"/>
        <v>117</v>
      </c>
      <c r="L15" s="8">
        <f t="shared" si="3"/>
        <v>136</v>
      </c>
      <c r="M15" s="8">
        <f t="shared" si="3"/>
        <v>95</v>
      </c>
      <c r="N15" s="8">
        <f t="shared" si="3"/>
        <v>203</v>
      </c>
      <c r="O15" s="8">
        <f t="shared" si="3"/>
        <v>189</v>
      </c>
      <c r="P15" s="8">
        <f t="shared" si="3"/>
        <v>160</v>
      </c>
      <c r="Q15" s="8">
        <f t="shared" si="3"/>
        <v>105</v>
      </c>
      <c r="R15" s="8">
        <f>SUM(R$3:R$14)</f>
        <v>1698</v>
      </c>
      <c r="S15" s="21"/>
    </row>
    <row r="16" ht="13.5" customHeight="1">
      <c r="A16" s="22"/>
      <c r="B16" s="22"/>
      <c r="C16" s="23" t="s">
        <v>26</v>
      </c>
      <c r="D16" s="24">
        <f t="shared" ref="D16:Q16" si="4">D15/$R$15</f>
        <v>0.05948174323</v>
      </c>
      <c r="E16" s="24">
        <f t="shared" si="4"/>
        <v>0.07597173145</v>
      </c>
      <c r="F16" s="24">
        <f t="shared" si="4"/>
        <v>0.04534746761</v>
      </c>
      <c r="G16" s="24">
        <f t="shared" si="4"/>
        <v>0.04004711425</v>
      </c>
      <c r="H16" s="24">
        <f t="shared" si="4"/>
        <v>0.04240282686</v>
      </c>
      <c r="I16" s="24">
        <f t="shared" si="4"/>
        <v>0.06831566549</v>
      </c>
      <c r="J16" s="24">
        <f t="shared" si="4"/>
        <v>0.0765606596</v>
      </c>
      <c r="K16" s="24">
        <f t="shared" si="4"/>
        <v>0.06890459364</v>
      </c>
      <c r="L16" s="24">
        <f t="shared" si="4"/>
        <v>0.0800942285</v>
      </c>
      <c r="M16" s="24">
        <f t="shared" si="4"/>
        <v>0.05594817432</v>
      </c>
      <c r="N16" s="24">
        <f t="shared" si="4"/>
        <v>0.1195524146</v>
      </c>
      <c r="O16" s="24">
        <f t="shared" si="4"/>
        <v>0.1113074205</v>
      </c>
      <c r="P16" s="24">
        <f t="shared" si="4"/>
        <v>0.09422850412</v>
      </c>
      <c r="Q16" s="24">
        <f t="shared" si="4"/>
        <v>0.06183745583</v>
      </c>
      <c r="R16" s="24">
        <f>SUM(D16:Q16)</f>
        <v>1</v>
      </c>
      <c r="S16" s="21"/>
    </row>
    <row r="17" ht="13.5" customHeight="1">
      <c r="A17" s="25"/>
      <c r="B17" s="25"/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</row>
    <row r="18" ht="12.0" customHeight="1">
      <c r="A18" s="5"/>
      <c r="B18" s="5"/>
      <c r="C18" s="6" t="s">
        <v>27</v>
      </c>
    </row>
    <row r="19" ht="12.0" customHeight="1">
      <c r="A19" s="5"/>
      <c r="B19" s="5"/>
      <c r="C19" s="7" t="s">
        <v>28</v>
      </c>
      <c r="D19" s="8">
        <v>6.0</v>
      </c>
      <c r="E19" s="8">
        <v>7.0</v>
      </c>
      <c r="F19" s="8">
        <v>8.0</v>
      </c>
      <c r="G19" s="8">
        <v>9.0</v>
      </c>
      <c r="H19" s="8">
        <v>10.0</v>
      </c>
      <c r="I19" s="8">
        <v>11.0</v>
      </c>
      <c r="J19" s="8">
        <v>12.0</v>
      </c>
      <c r="K19" s="8">
        <v>13.0</v>
      </c>
      <c r="L19" s="8">
        <v>14.0</v>
      </c>
      <c r="M19" s="8">
        <v>15.0</v>
      </c>
      <c r="N19" s="8">
        <v>16.0</v>
      </c>
      <c r="O19" s="8">
        <v>17.0</v>
      </c>
      <c r="P19" s="8">
        <v>18.0</v>
      </c>
      <c r="Q19" s="8">
        <v>19.0</v>
      </c>
      <c r="R19" s="8" t="s">
        <v>20</v>
      </c>
      <c r="S19" s="9" t="s">
        <v>21</v>
      </c>
    </row>
    <row r="20" ht="14.25" customHeight="1">
      <c r="A20" s="5"/>
      <c r="B20" s="5"/>
      <c r="C20" s="28" t="s">
        <v>9</v>
      </c>
      <c r="D20" s="14">
        <v>9.0</v>
      </c>
      <c r="E20" s="14">
        <v>18.0</v>
      </c>
      <c r="F20" s="14">
        <v>11.0</v>
      </c>
      <c r="G20" s="14">
        <v>12.0</v>
      </c>
      <c r="H20" s="14">
        <v>4.0</v>
      </c>
      <c r="I20" s="14">
        <v>12.0</v>
      </c>
      <c r="J20" s="14">
        <v>9.0</v>
      </c>
      <c r="K20" s="14">
        <v>10.0</v>
      </c>
      <c r="L20" s="14">
        <v>13.0</v>
      </c>
      <c r="M20" s="14">
        <v>10.0</v>
      </c>
      <c r="N20" s="14">
        <v>24.0</v>
      </c>
      <c r="O20" s="14">
        <v>17.0</v>
      </c>
      <c r="P20" s="14">
        <v>8.0</v>
      </c>
      <c r="Q20" s="14">
        <v>9.0</v>
      </c>
      <c r="R20" s="8">
        <f t="shared" ref="R20:R27" si="5">SUM(D20:Q20)</f>
        <v>166</v>
      </c>
      <c r="S20" s="9">
        <f t="shared" ref="S20:S27" si="6">R20/$R$15</f>
        <v>0.09776207303</v>
      </c>
    </row>
    <row r="21" ht="14.25" customHeight="1">
      <c r="A21" s="5"/>
      <c r="B21" s="5"/>
      <c r="C21" s="29" t="s">
        <v>10</v>
      </c>
      <c r="D21" s="30">
        <v>1.0</v>
      </c>
      <c r="E21" s="30">
        <v>2.0</v>
      </c>
      <c r="F21" s="30">
        <v>0.0</v>
      </c>
      <c r="G21" s="17">
        <v>0.0</v>
      </c>
      <c r="H21" s="17">
        <v>0.0</v>
      </c>
      <c r="I21" s="17">
        <v>0.0</v>
      </c>
      <c r="J21" s="31">
        <v>2.0</v>
      </c>
      <c r="K21" s="17">
        <v>7.0</v>
      </c>
      <c r="L21" s="17">
        <v>0.0</v>
      </c>
      <c r="M21" s="17">
        <v>1.0</v>
      </c>
      <c r="N21" s="17">
        <v>10.0</v>
      </c>
      <c r="O21" s="17">
        <v>4.0</v>
      </c>
      <c r="P21" s="17">
        <v>2.0</v>
      </c>
      <c r="Q21" s="17">
        <v>0.0</v>
      </c>
      <c r="R21" s="8">
        <f t="shared" si="5"/>
        <v>29</v>
      </c>
      <c r="S21" s="9">
        <f t="shared" si="6"/>
        <v>0.01707891637</v>
      </c>
    </row>
    <row r="22" ht="14.25" customHeight="1">
      <c r="A22" s="5"/>
      <c r="B22" s="5"/>
      <c r="C22" s="28" t="s">
        <v>11</v>
      </c>
      <c r="D22" s="14">
        <v>6.0</v>
      </c>
      <c r="E22" s="14">
        <v>5.0</v>
      </c>
      <c r="F22" s="14">
        <v>5.0</v>
      </c>
      <c r="G22" s="14">
        <v>3.0</v>
      </c>
      <c r="H22" s="14">
        <v>0.0</v>
      </c>
      <c r="I22" s="14">
        <v>5.0</v>
      </c>
      <c r="J22" s="14">
        <v>6.0</v>
      </c>
      <c r="K22" s="14">
        <v>1.0</v>
      </c>
      <c r="L22" s="14">
        <v>6.0</v>
      </c>
      <c r="M22" s="14">
        <v>1.0</v>
      </c>
      <c r="N22" s="32">
        <v>6.0</v>
      </c>
      <c r="O22" s="14">
        <v>7.0</v>
      </c>
      <c r="P22" s="14">
        <v>6.0</v>
      </c>
      <c r="Q22" s="14">
        <v>8.0</v>
      </c>
      <c r="R22" s="8">
        <f t="shared" si="5"/>
        <v>65</v>
      </c>
      <c r="S22" s="9">
        <f t="shared" si="6"/>
        <v>0.0382803298</v>
      </c>
    </row>
    <row r="23" ht="14.25" customHeight="1">
      <c r="A23" s="5"/>
      <c r="B23" s="5"/>
      <c r="C23" s="33" t="s">
        <v>12</v>
      </c>
      <c r="D23" s="17">
        <v>3.0</v>
      </c>
      <c r="E23" s="17">
        <v>14.0</v>
      </c>
      <c r="F23" s="17">
        <v>1.0</v>
      </c>
      <c r="G23" s="17">
        <v>0.0</v>
      </c>
      <c r="H23" s="17">
        <v>0.0</v>
      </c>
      <c r="I23" s="17">
        <v>12.0</v>
      </c>
      <c r="J23" s="17">
        <v>3.0</v>
      </c>
      <c r="K23" s="17">
        <v>7.0</v>
      </c>
      <c r="L23" s="17">
        <v>3.0</v>
      </c>
      <c r="M23" s="17">
        <v>2.0</v>
      </c>
      <c r="N23" s="17">
        <v>9.0</v>
      </c>
      <c r="O23" s="17">
        <v>12.0</v>
      </c>
      <c r="P23" s="17">
        <v>3.0</v>
      </c>
      <c r="Q23" s="17">
        <v>5.0</v>
      </c>
      <c r="R23" s="8">
        <f t="shared" si="5"/>
        <v>74</v>
      </c>
      <c r="S23" s="9">
        <f t="shared" si="6"/>
        <v>0.04358068316</v>
      </c>
    </row>
    <row r="24" ht="14.25" customHeight="1">
      <c r="A24" s="5"/>
      <c r="B24" s="5"/>
      <c r="C24" s="28" t="s">
        <v>13</v>
      </c>
      <c r="D24" s="14">
        <v>3.0</v>
      </c>
      <c r="E24" s="14">
        <v>11.0</v>
      </c>
      <c r="F24" s="14">
        <v>10.0</v>
      </c>
      <c r="G24" s="14">
        <v>9.0</v>
      </c>
      <c r="H24" s="14">
        <v>8.0</v>
      </c>
      <c r="I24" s="14">
        <v>12.0</v>
      </c>
      <c r="J24" s="14">
        <v>11.0</v>
      </c>
      <c r="K24" s="14">
        <v>7.0</v>
      </c>
      <c r="L24" s="14">
        <v>11.0</v>
      </c>
      <c r="M24" s="14">
        <v>8.0</v>
      </c>
      <c r="N24" s="14">
        <v>16.0</v>
      </c>
      <c r="O24" s="14">
        <v>9.0</v>
      </c>
      <c r="P24" s="14">
        <v>2.0</v>
      </c>
      <c r="Q24" s="14">
        <v>2.0</v>
      </c>
      <c r="R24" s="8">
        <f t="shared" si="5"/>
        <v>119</v>
      </c>
      <c r="S24" s="9">
        <f t="shared" si="6"/>
        <v>0.07008244994</v>
      </c>
    </row>
    <row r="25" ht="14.25" customHeight="1">
      <c r="A25" s="5"/>
      <c r="B25" s="5"/>
      <c r="C25" s="33" t="s">
        <v>14</v>
      </c>
      <c r="D25" s="31">
        <f>SUM(D37:D38)</f>
        <v>1</v>
      </c>
      <c r="E25" s="17">
        <v>0.0</v>
      </c>
      <c r="F25" s="17">
        <v>10.0</v>
      </c>
      <c r="G25" s="17">
        <v>6.0</v>
      </c>
      <c r="H25" s="17">
        <v>6.0</v>
      </c>
      <c r="I25" s="17">
        <v>5.0</v>
      </c>
      <c r="J25" s="17">
        <v>3.0</v>
      </c>
      <c r="K25" s="17">
        <v>2.0</v>
      </c>
      <c r="L25" s="17">
        <v>1.0</v>
      </c>
      <c r="M25" s="17">
        <v>2.0</v>
      </c>
      <c r="N25" s="17">
        <v>10.0</v>
      </c>
      <c r="O25" s="17">
        <v>4.0</v>
      </c>
      <c r="P25" s="17">
        <v>4.0</v>
      </c>
      <c r="Q25" s="17">
        <v>0.0</v>
      </c>
      <c r="R25" s="8">
        <f t="shared" si="5"/>
        <v>54</v>
      </c>
      <c r="S25" s="9">
        <f t="shared" si="6"/>
        <v>0.03180212014</v>
      </c>
    </row>
    <row r="26" ht="14.25" customHeight="1">
      <c r="A26" s="5"/>
      <c r="B26" s="5"/>
      <c r="C26" s="28" t="s">
        <v>15</v>
      </c>
      <c r="D26" s="14">
        <v>5.0</v>
      </c>
      <c r="E26" s="14">
        <v>2.0</v>
      </c>
      <c r="F26" s="14">
        <v>0.0</v>
      </c>
      <c r="G26" s="14">
        <v>1.0</v>
      </c>
      <c r="H26" s="14">
        <v>1.0</v>
      </c>
      <c r="I26" s="14">
        <v>4.0</v>
      </c>
      <c r="J26" s="14">
        <v>4.0</v>
      </c>
      <c r="K26" s="14">
        <v>3.0</v>
      </c>
      <c r="L26" s="14">
        <v>0.0</v>
      </c>
      <c r="M26" s="14">
        <v>3.0</v>
      </c>
      <c r="N26" s="14">
        <v>18.0</v>
      </c>
      <c r="O26" s="14">
        <v>35.0</v>
      </c>
      <c r="P26" s="14">
        <v>14.0</v>
      </c>
      <c r="Q26" s="14">
        <v>14.0</v>
      </c>
      <c r="R26" s="8">
        <f t="shared" si="5"/>
        <v>104</v>
      </c>
      <c r="S26" s="9">
        <f t="shared" si="6"/>
        <v>0.06124852768</v>
      </c>
    </row>
    <row r="27" ht="14.25" customHeight="1">
      <c r="A27" s="5"/>
      <c r="B27" s="5"/>
      <c r="C27" s="33" t="s">
        <v>16</v>
      </c>
      <c r="D27" s="17">
        <v>2.0</v>
      </c>
      <c r="E27" s="17">
        <v>5.0</v>
      </c>
      <c r="F27" s="17">
        <v>6.0</v>
      </c>
      <c r="G27" s="17">
        <v>5.0</v>
      </c>
      <c r="H27" s="17">
        <v>6.0</v>
      </c>
      <c r="I27" s="17">
        <v>5.0</v>
      </c>
      <c r="J27" s="17">
        <v>15.0</v>
      </c>
      <c r="K27" s="17">
        <v>8.0</v>
      </c>
      <c r="L27" s="17">
        <v>10.0</v>
      </c>
      <c r="M27" s="17">
        <v>5.0</v>
      </c>
      <c r="N27" s="17">
        <v>22.0</v>
      </c>
      <c r="O27" s="17">
        <v>13.0</v>
      </c>
      <c r="P27" s="17">
        <v>20.0</v>
      </c>
      <c r="Q27" s="17">
        <v>37.0</v>
      </c>
      <c r="R27" s="8">
        <f t="shared" si="5"/>
        <v>159</v>
      </c>
      <c r="S27" s="9">
        <f t="shared" si="6"/>
        <v>0.09363957597</v>
      </c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4.25" customHeight="1">
      <c r="A29" s="34"/>
      <c r="B29" s="34"/>
      <c r="C29" s="34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6"/>
    </row>
    <row r="30" ht="14.25" customHeight="1">
      <c r="A30" s="5"/>
      <c r="B30" s="5"/>
      <c r="C30" s="6" t="s">
        <v>29</v>
      </c>
    </row>
    <row r="31" ht="14.25" customHeight="1">
      <c r="A31" s="5"/>
      <c r="B31" s="5"/>
      <c r="C31" s="7" t="s">
        <v>28</v>
      </c>
      <c r="D31" s="8">
        <v>6.0</v>
      </c>
      <c r="E31" s="8">
        <v>7.0</v>
      </c>
      <c r="F31" s="8">
        <v>8.0</v>
      </c>
      <c r="G31" s="8">
        <v>9.0</v>
      </c>
      <c r="H31" s="8">
        <v>10.0</v>
      </c>
      <c r="I31" s="8">
        <v>11.0</v>
      </c>
      <c r="J31" s="8">
        <v>12.0</v>
      </c>
      <c r="K31" s="8">
        <v>13.0</v>
      </c>
      <c r="L31" s="8">
        <v>14.0</v>
      </c>
      <c r="M31" s="8">
        <v>15.0</v>
      </c>
      <c r="N31" s="8">
        <v>16.0</v>
      </c>
      <c r="O31" s="8">
        <v>17.0</v>
      </c>
      <c r="P31" s="8">
        <v>18.0</v>
      </c>
      <c r="Q31" s="8">
        <v>19.0</v>
      </c>
      <c r="R31" s="8" t="s">
        <v>20</v>
      </c>
      <c r="S31" s="9" t="s">
        <v>21</v>
      </c>
    </row>
    <row r="32" ht="14.25" customHeight="1">
      <c r="A32" s="5"/>
      <c r="B32" s="5"/>
      <c r="C32" s="33" t="s">
        <v>30</v>
      </c>
      <c r="D32" s="17">
        <v>0.0</v>
      </c>
      <c r="E32" s="37">
        <v>11.0</v>
      </c>
      <c r="F32" s="17">
        <v>0.0</v>
      </c>
      <c r="G32" s="17">
        <v>0.0</v>
      </c>
      <c r="H32" s="17">
        <v>0.0</v>
      </c>
      <c r="I32" s="31">
        <v>10.0</v>
      </c>
      <c r="J32" s="17">
        <v>2.0</v>
      </c>
      <c r="K32" s="17">
        <v>7.0</v>
      </c>
      <c r="L32" s="17">
        <v>2.0</v>
      </c>
      <c r="M32" s="17">
        <v>2.0</v>
      </c>
      <c r="N32" s="17">
        <v>8.0</v>
      </c>
      <c r="O32" s="17">
        <v>8.0</v>
      </c>
      <c r="P32" s="17">
        <v>2.0</v>
      </c>
      <c r="Q32" s="17">
        <v>1.0</v>
      </c>
      <c r="R32" s="8">
        <f t="shared" ref="R32:R54" si="7">SUM(D32:Q32)</f>
        <v>53</v>
      </c>
      <c r="S32" s="9">
        <f t="shared" ref="S32:S54" si="8">R32/$R$15</f>
        <v>0.03121319199</v>
      </c>
    </row>
    <row r="33" ht="14.25" customHeight="1">
      <c r="A33" s="5"/>
      <c r="B33" s="5"/>
      <c r="C33" s="28" t="s">
        <v>31</v>
      </c>
      <c r="D33" s="38">
        <v>3.0</v>
      </c>
      <c r="E33" s="38">
        <v>3.0</v>
      </c>
      <c r="F33" s="39">
        <v>1.0</v>
      </c>
      <c r="G33" s="38">
        <v>0.0</v>
      </c>
      <c r="H33" s="38">
        <v>0.0</v>
      </c>
      <c r="I33" s="38">
        <v>2.0</v>
      </c>
      <c r="J33" s="38">
        <v>1.0</v>
      </c>
      <c r="K33" s="38">
        <v>0.0</v>
      </c>
      <c r="L33" s="38">
        <v>0.0</v>
      </c>
      <c r="M33" s="38">
        <v>0.0</v>
      </c>
      <c r="N33" s="38">
        <v>0.0</v>
      </c>
      <c r="O33" s="38">
        <v>1.0</v>
      </c>
      <c r="P33" s="38">
        <v>1.0</v>
      </c>
      <c r="Q33" s="38">
        <v>3.0</v>
      </c>
      <c r="R33" s="8">
        <f t="shared" si="7"/>
        <v>15</v>
      </c>
      <c r="S33" s="9">
        <f t="shared" si="8"/>
        <v>0.008833922261</v>
      </c>
    </row>
    <row r="34" ht="14.25" customHeight="1">
      <c r="A34" s="5"/>
      <c r="B34" s="5"/>
      <c r="C34" s="33" t="s">
        <v>32</v>
      </c>
      <c r="D34" s="31">
        <v>0.0</v>
      </c>
      <c r="E34" s="37">
        <v>0.0</v>
      </c>
      <c r="F34" s="17">
        <v>0.0</v>
      </c>
      <c r="G34" s="31">
        <v>0.0</v>
      </c>
      <c r="H34" s="17">
        <v>0.0</v>
      </c>
      <c r="I34" s="17">
        <v>0.0</v>
      </c>
      <c r="J34" s="31">
        <v>0.0</v>
      </c>
      <c r="K34" s="17">
        <v>0.0</v>
      </c>
      <c r="L34" s="17">
        <v>1.0</v>
      </c>
      <c r="M34" s="17">
        <v>0.0</v>
      </c>
      <c r="N34" s="17">
        <v>1.0</v>
      </c>
      <c r="O34" s="31">
        <v>3.0</v>
      </c>
      <c r="P34" s="17">
        <v>0.0</v>
      </c>
      <c r="Q34" s="17">
        <v>1.0</v>
      </c>
      <c r="R34" s="8">
        <f t="shared" si="7"/>
        <v>6</v>
      </c>
      <c r="S34" s="9">
        <f t="shared" si="8"/>
        <v>0.003533568905</v>
      </c>
    </row>
    <row r="35" ht="14.25" customHeight="1">
      <c r="A35" s="5"/>
      <c r="B35" s="5"/>
      <c r="C35" s="28" t="s">
        <v>33</v>
      </c>
      <c r="D35" s="38">
        <v>3.0</v>
      </c>
      <c r="E35" s="38">
        <v>11.0</v>
      </c>
      <c r="F35" s="38">
        <v>10.0</v>
      </c>
      <c r="G35" s="38">
        <v>9.0</v>
      </c>
      <c r="H35" s="38">
        <v>8.0</v>
      </c>
      <c r="I35" s="38">
        <v>12.0</v>
      </c>
      <c r="J35" s="38">
        <v>11.0</v>
      </c>
      <c r="K35" s="38">
        <v>7.0</v>
      </c>
      <c r="L35" s="38">
        <v>11.0</v>
      </c>
      <c r="M35" s="38">
        <v>8.0</v>
      </c>
      <c r="N35" s="38">
        <v>16.0</v>
      </c>
      <c r="O35" s="38">
        <v>9.0</v>
      </c>
      <c r="P35" s="38">
        <v>2.0</v>
      </c>
      <c r="Q35" s="38">
        <v>2.0</v>
      </c>
      <c r="R35" s="8">
        <f t="shared" si="7"/>
        <v>119</v>
      </c>
      <c r="S35" s="9">
        <f t="shared" si="8"/>
        <v>0.07008244994</v>
      </c>
    </row>
    <row r="36" ht="14.25" customHeight="1">
      <c r="A36" s="5"/>
      <c r="B36" s="5"/>
      <c r="C36" s="33" t="s">
        <v>34</v>
      </c>
      <c r="D36" s="17">
        <v>7.0</v>
      </c>
      <c r="E36" s="37">
        <v>4.0</v>
      </c>
      <c r="F36" s="17">
        <v>6.0</v>
      </c>
      <c r="G36" s="17">
        <v>7.0</v>
      </c>
      <c r="H36" s="17">
        <v>7.0</v>
      </c>
      <c r="I36" s="17">
        <v>8.0</v>
      </c>
      <c r="J36" s="17">
        <v>9.0</v>
      </c>
      <c r="K36" s="17">
        <v>4.0</v>
      </c>
      <c r="L36" s="31">
        <v>3.0</v>
      </c>
      <c r="M36" s="17">
        <v>3.0</v>
      </c>
      <c r="N36" s="17">
        <v>8.0</v>
      </c>
      <c r="O36" s="17">
        <v>10.0</v>
      </c>
      <c r="P36" s="17">
        <v>5.0</v>
      </c>
      <c r="Q36" s="17">
        <v>4.0</v>
      </c>
      <c r="R36" s="8">
        <f t="shared" si="7"/>
        <v>85</v>
      </c>
      <c r="S36" s="9">
        <f t="shared" si="8"/>
        <v>0.05005889282</v>
      </c>
    </row>
    <row r="37" ht="14.25" customHeight="1">
      <c r="A37" s="5"/>
      <c r="B37" s="5"/>
      <c r="C37" s="28" t="s">
        <v>14</v>
      </c>
      <c r="D37" s="32">
        <v>0.0</v>
      </c>
      <c r="E37" s="14">
        <v>0.0</v>
      </c>
      <c r="F37" s="14">
        <v>10.0</v>
      </c>
      <c r="G37" s="14">
        <v>6.0</v>
      </c>
      <c r="H37" s="32">
        <v>6.0</v>
      </c>
      <c r="I37" s="14">
        <v>5.0</v>
      </c>
      <c r="J37" s="14">
        <v>3.0</v>
      </c>
      <c r="K37" s="14">
        <v>2.0</v>
      </c>
      <c r="L37" s="14">
        <v>1.0</v>
      </c>
      <c r="M37" s="32">
        <v>2.0</v>
      </c>
      <c r="N37" s="14">
        <v>10.0</v>
      </c>
      <c r="O37" s="32">
        <v>4.0</v>
      </c>
      <c r="P37" s="14">
        <v>4.0</v>
      </c>
      <c r="Q37" s="32">
        <v>0.0</v>
      </c>
      <c r="R37" s="8">
        <f t="shared" si="7"/>
        <v>53</v>
      </c>
      <c r="S37" s="9">
        <f t="shared" si="8"/>
        <v>0.03121319199</v>
      </c>
    </row>
    <row r="38" ht="14.25" customHeight="1">
      <c r="A38" s="5"/>
      <c r="B38" s="5"/>
      <c r="C38" s="33" t="s">
        <v>35</v>
      </c>
      <c r="D38" s="17">
        <v>1.0</v>
      </c>
      <c r="E38" s="37">
        <v>6.0</v>
      </c>
      <c r="F38" s="17">
        <v>6.0</v>
      </c>
      <c r="G38" s="17">
        <v>9.0</v>
      </c>
      <c r="H38" s="17">
        <v>26.0</v>
      </c>
      <c r="I38" s="17">
        <v>43.0</v>
      </c>
      <c r="J38" s="17">
        <v>69.0</v>
      </c>
      <c r="K38" s="17">
        <v>53.0</v>
      </c>
      <c r="L38" s="17">
        <v>60.0</v>
      </c>
      <c r="M38" s="17">
        <v>40.0</v>
      </c>
      <c r="N38" s="17">
        <v>73.0</v>
      </c>
      <c r="O38" s="17">
        <v>59.0</v>
      </c>
      <c r="P38" s="17">
        <v>65.0</v>
      </c>
      <c r="Q38" s="17">
        <v>95.0</v>
      </c>
      <c r="R38" s="8">
        <f t="shared" si="7"/>
        <v>605</v>
      </c>
      <c r="S38" s="9">
        <f t="shared" si="8"/>
        <v>0.3563015312</v>
      </c>
    </row>
    <row r="39" ht="14.25" customHeight="1">
      <c r="A39" s="5"/>
      <c r="B39" s="5"/>
      <c r="C39" s="28" t="s">
        <v>15</v>
      </c>
      <c r="D39" s="14">
        <v>5.0</v>
      </c>
      <c r="E39" s="40">
        <v>2.0</v>
      </c>
      <c r="F39" s="14">
        <v>0.0</v>
      </c>
      <c r="G39" s="14">
        <v>1.0</v>
      </c>
      <c r="H39" s="14">
        <v>1.0</v>
      </c>
      <c r="I39" s="14">
        <v>4.0</v>
      </c>
      <c r="J39" s="14">
        <v>4.0</v>
      </c>
      <c r="K39" s="14">
        <v>3.0</v>
      </c>
      <c r="L39" s="14">
        <v>0.0</v>
      </c>
      <c r="M39" s="14">
        <v>3.0</v>
      </c>
      <c r="N39" s="14">
        <v>18.0</v>
      </c>
      <c r="O39" s="14">
        <v>35.0</v>
      </c>
      <c r="P39" s="14">
        <v>14.0</v>
      </c>
      <c r="Q39" s="14">
        <v>14.0</v>
      </c>
      <c r="R39" s="8">
        <f t="shared" si="7"/>
        <v>104</v>
      </c>
      <c r="S39" s="9">
        <f t="shared" si="8"/>
        <v>0.06124852768</v>
      </c>
    </row>
    <row r="40" ht="14.25" customHeight="1">
      <c r="A40" s="5"/>
      <c r="B40" s="5"/>
      <c r="C40" s="33" t="s">
        <v>36</v>
      </c>
      <c r="D40" s="17">
        <v>1.0</v>
      </c>
      <c r="E40" s="17">
        <v>0.0</v>
      </c>
      <c r="F40" s="17">
        <v>13.0</v>
      </c>
      <c r="G40" s="17">
        <v>17.0</v>
      </c>
      <c r="H40" s="17">
        <v>14.0</v>
      </c>
      <c r="I40" s="17">
        <v>15.0</v>
      </c>
      <c r="J40" s="17">
        <v>14.0</v>
      </c>
      <c r="K40" s="17">
        <v>10.0</v>
      </c>
      <c r="L40" s="17">
        <v>0.0</v>
      </c>
      <c r="M40" s="17">
        <v>0.0</v>
      </c>
      <c r="N40" s="17">
        <v>10.0</v>
      </c>
      <c r="O40" s="17">
        <v>4.0</v>
      </c>
      <c r="P40" s="17">
        <v>32.0</v>
      </c>
      <c r="Q40" s="17">
        <v>12.0</v>
      </c>
      <c r="R40" s="8">
        <f t="shared" si="7"/>
        <v>142</v>
      </c>
      <c r="S40" s="9">
        <f t="shared" si="8"/>
        <v>0.08362779741</v>
      </c>
    </row>
    <row r="41" ht="14.25" customHeight="1">
      <c r="A41" s="5"/>
      <c r="B41" s="5"/>
      <c r="C41" s="28" t="s">
        <v>37</v>
      </c>
      <c r="D41" s="14">
        <v>1.0</v>
      </c>
      <c r="E41" s="14">
        <v>1.0</v>
      </c>
      <c r="F41" s="14">
        <v>1.0</v>
      </c>
      <c r="G41" s="14">
        <v>3.0</v>
      </c>
      <c r="H41" s="14">
        <v>4.0</v>
      </c>
      <c r="I41" s="14">
        <v>13.0</v>
      </c>
      <c r="J41" s="14">
        <v>16.0</v>
      </c>
      <c r="K41" s="14">
        <v>18.0</v>
      </c>
      <c r="L41" s="14">
        <v>12.0</v>
      </c>
      <c r="M41" s="14">
        <v>5.0</v>
      </c>
      <c r="N41" s="14">
        <v>15.0</v>
      </c>
      <c r="O41" s="14">
        <v>12.0</v>
      </c>
      <c r="P41" s="14">
        <v>14.0</v>
      </c>
      <c r="Q41" s="14">
        <v>26.0</v>
      </c>
      <c r="R41" s="8">
        <f t="shared" si="7"/>
        <v>141</v>
      </c>
      <c r="S41" s="9">
        <f t="shared" si="8"/>
        <v>0.08303886926</v>
      </c>
    </row>
    <row r="42" ht="14.25" customHeight="1">
      <c r="A42" s="5"/>
      <c r="B42" s="5"/>
      <c r="C42" s="33" t="s">
        <v>38</v>
      </c>
      <c r="D42" s="31">
        <v>1.0</v>
      </c>
      <c r="E42" s="17">
        <v>2.0</v>
      </c>
      <c r="F42" s="17">
        <v>0.0</v>
      </c>
      <c r="G42" s="17">
        <v>0.0</v>
      </c>
      <c r="H42" s="31">
        <v>1.0</v>
      </c>
      <c r="I42" s="17">
        <v>1.0</v>
      </c>
      <c r="J42" s="17">
        <v>3.0</v>
      </c>
      <c r="K42" s="31">
        <v>1.0</v>
      </c>
      <c r="L42" s="17">
        <v>0.0</v>
      </c>
      <c r="M42" s="17">
        <v>1.0</v>
      </c>
      <c r="N42" s="37">
        <v>2.0</v>
      </c>
      <c r="O42" s="41">
        <v>10.0</v>
      </c>
      <c r="P42" s="17">
        <v>6.0</v>
      </c>
      <c r="Q42" s="17">
        <v>3.0</v>
      </c>
      <c r="R42" s="8">
        <f t="shared" si="7"/>
        <v>31</v>
      </c>
      <c r="S42" s="9">
        <f t="shared" si="8"/>
        <v>0.01825677267</v>
      </c>
    </row>
    <row r="43" ht="14.25" customHeight="1">
      <c r="A43" s="5"/>
      <c r="B43" s="5"/>
      <c r="C43" s="28" t="s">
        <v>39</v>
      </c>
      <c r="D43" s="42">
        <v>0.0</v>
      </c>
      <c r="E43" s="42">
        <v>0.0</v>
      </c>
      <c r="F43" s="14">
        <v>0.0</v>
      </c>
      <c r="G43" s="14">
        <v>0.0</v>
      </c>
      <c r="H43" s="14">
        <v>0.0</v>
      </c>
      <c r="I43" s="42">
        <v>0.0</v>
      </c>
      <c r="J43" s="42">
        <v>0.0</v>
      </c>
      <c r="K43" s="14">
        <v>0.0</v>
      </c>
      <c r="L43" s="14">
        <v>0.0</v>
      </c>
      <c r="M43" s="14">
        <v>0.0</v>
      </c>
      <c r="N43" s="42">
        <v>0.0</v>
      </c>
      <c r="O43" s="42">
        <v>0.0</v>
      </c>
      <c r="P43" s="42">
        <v>0.0</v>
      </c>
      <c r="Q43" s="42">
        <v>0.0</v>
      </c>
      <c r="R43" s="8">
        <f t="shared" si="7"/>
        <v>0</v>
      </c>
      <c r="S43" s="9">
        <f t="shared" si="8"/>
        <v>0</v>
      </c>
    </row>
    <row r="44" ht="14.25" customHeight="1">
      <c r="A44" s="5"/>
      <c r="B44" s="5"/>
      <c r="C44" s="33" t="s">
        <v>40</v>
      </c>
      <c r="D44" s="41">
        <v>0.0</v>
      </c>
      <c r="E44" s="41">
        <v>0.0</v>
      </c>
      <c r="F44" s="41">
        <v>0.0</v>
      </c>
      <c r="G44" s="41">
        <v>0.0</v>
      </c>
      <c r="H44" s="41">
        <v>0.0</v>
      </c>
      <c r="I44" s="41">
        <v>0.0</v>
      </c>
      <c r="J44" s="41">
        <v>0.0</v>
      </c>
      <c r="K44" s="41">
        <v>0.0</v>
      </c>
      <c r="L44" s="41">
        <v>0.0</v>
      </c>
      <c r="M44" s="41">
        <v>0.0</v>
      </c>
      <c r="N44" s="41">
        <v>0.0</v>
      </c>
      <c r="O44" s="41">
        <v>0.0</v>
      </c>
      <c r="P44" s="41">
        <v>0.0</v>
      </c>
      <c r="Q44" s="41">
        <v>0.0</v>
      </c>
      <c r="R44" s="8">
        <f t="shared" si="7"/>
        <v>0</v>
      </c>
      <c r="S44" s="9">
        <f t="shared" si="8"/>
        <v>0</v>
      </c>
    </row>
    <row r="45" ht="14.25" customHeight="1">
      <c r="A45" s="5"/>
      <c r="B45" s="5"/>
      <c r="C45" s="28" t="s">
        <v>41</v>
      </c>
      <c r="D45" s="42">
        <v>0.0</v>
      </c>
      <c r="E45" s="42">
        <v>0.0</v>
      </c>
      <c r="F45" s="14">
        <v>0.0</v>
      </c>
      <c r="G45" s="14">
        <v>0.0</v>
      </c>
      <c r="H45" s="42">
        <v>0.0</v>
      </c>
      <c r="I45" s="42">
        <v>0.0</v>
      </c>
      <c r="J45" s="42">
        <v>1.0</v>
      </c>
      <c r="K45" s="42">
        <v>0.0</v>
      </c>
      <c r="L45" s="42">
        <v>0.0</v>
      </c>
      <c r="M45" s="42">
        <v>0.0</v>
      </c>
      <c r="N45" s="42">
        <v>0.0</v>
      </c>
      <c r="O45" s="14">
        <v>0.0</v>
      </c>
      <c r="P45" s="42">
        <v>0.0</v>
      </c>
      <c r="Q45" s="42">
        <v>0.0</v>
      </c>
      <c r="R45" s="8">
        <f t="shared" si="7"/>
        <v>1</v>
      </c>
      <c r="S45" s="9">
        <f t="shared" si="8"/>
        <v>0.0005889281508</v>
      </c>
    </row>
    <row r="46" ht="14.25" customHeight="1">
      <c r="A46" s="5"/>
      <c r="B46" s="5"/>
      <c r="C46" s="33" t="s">
        <v>42</v>
      </c>
      <c r="D46" s="41">
        <v>1.0</v>
      </c>
      <c r="E46" s="41">
        <v>0.0</v>
      </c>
      <c r="F46" s="41">
        <v>0.0</v>
      </c>
      <c r="G46" s="17">
        <v>3.0</v>
      </c>
      <c r="H46" s="17">
        <v>0.0</v>
      </c>
      <c r="I46" s="17">
        <v>1.0</v>
      </c>
      <c r="J46" s="41">
        <v>0.0</v>
      </c>
      <c r="K46" s="17">
        <v>4.0</v>
      </c>
      <c r="L46" s="41">
        <v>1.0</v>
      </c>
      <c r="M46" s="17">
        <v>0.0</v>
      </c>
      <c r="N46" s="41">
        <v>0.0</v>
      </c>
      <c r="O46" s="41">
        <v>2.0</v>
      </c>
      <c r="P46" s="17">
        <v>5.0</v>
      </c>
      <c r="Q46" s="17">
        <v>5.0</v>
      </c>
      <c r="R46" s="8">
        <f t="shared" si="7"/>
        <v>22</v>
      </c>
      <c r="S46" s="9">
        <f t="shared" si="8"/>
        <v>0.01295641932</v>
      </c>
    </row>
    <row r="47" ht="14.25" customHeight="1">
      <c r="A47" s="5"/>
      <c r="B47" s="5"/>
      <c r="C47" s="28" t="s">
        <v>43</v>
      </c>
      <c r="D47" s="42">
        <v>0.0</v>
      </c>
      <c r="E47" s="42">
        <v>0.0</v>
      </c>
      <c r="F47" s="42">
        <v>0.0</v>
      </c>
      <c r="G47" s="42">
        <v>0.0</v>
      </c>
      <c r="H47" s="42">
        <v>0.0</v>
      </c>
      <c r="I47" s="42">
        <v>0.0</v>
      </c>
      <c r="J47" s="42">
        <v>0.0</v>
      </c>
      <c r="K47" s="42">
        <v>0.0</v>
      </c>
      <c r="L47" s="42">
        <v>0.0</v>
      </c>
      <c r="M47" s="42">
        <v>0.0</v>
      </c>
      <c r="N47" s="42">
        <v>0.0</v>
      </c>
      <c r="O47" s="42">
        <v>0.0</v>
      </c>
      <c r="P47" s="42">
        <v>0.0</v>
      </c>
      <c r="Q47" s="42">
        <v>1.0</v>
      </c>
      <c r="R47" s="8">
        <f t="shared" si="7"/>
        <v>1</v>
      </c>
      <c r="S47" s="9">
        <f t="shared" si="8"/>
        <v>0.0005889281508</v>
      </c>
    </row>
    <row r="48" ht="14.25" customHeight="1">
      <c r="A48" s="5"/>
      <c r="B48" s="5"/>
      <c r="C48" s="33" t="s">
        <v>44</v>
      </c>
      <c r="D48" s="41">
        <v>0.0</v>
      </c>
      <c r="E48" s="41">
        <v>0.0</v>
      </c>
      <c r="F48" s="41">
        <v>0.0</v>
      </c>
      <c r="G48" s="41">
        <v>0.0</v>
      </c>
      <c r="H48" s="17">
        <v>0.0</v>
      </c>
      <c r="I48" s="17">
        <v>0.0</v>
      </c>
      <c r="J48" s="41">
        <v>0.0</v>
      </c>
      <c r="K48" s="41">
        <v>0.0</v>
      </c>
      <c r="L48" s="41">
        <v>0.0</v>
      </c>
      <c r="M48" s="41">
        <v>0.0</v>
      </c>
      <c r="N48" s="37">
        <v>0.0</v>
      </c>
      <c r="O48" s="17">
        <v>0.0</v>
      </c>
      <c r="P48" s="41">
        <v>0.0</v>
      </c>
      <c r="Q48" s="41">
        <v>0.0</v>
      </c>
      <c r="R48" s="8">
        <f t="shared" si="7"/>
        <v>0</v>
      </c>
      <c r="S48" s="9">
        <f t="shared" si="8"/>
        <v>0</v>
      </c>
    </row>
    <row r="49" ht="14.25" customHeight="1">
      <c r="A49" s="5"/>
      <c r="B49" s="5"/>
      <c r="C49" s="28" t="s">
        <v>45</v>
      </c>
      <c r="D49" s="42">
        <v>0.0</v>
      </c>
      <c r="E49" s="42">
        <v>0.0</v>
      </c>
      <c r="F49" s="42">
        <v>0.0</v>
      </c>
      <c r="G49" s="42">
        <v>0.0</v>
      </c>
      <c r="H49" s="42">
        <v>0.0</v>
      </c>
      <c r="I49" s="42">
        <v>0.0</v>
      </c>
      <c r="J49" s="42">
        <v>0.0</v>
      </c>
      <c r="K49" s="42">
        <v>0.0</v>
      </c>
      <c r="L49" s="42">
        <v>0.0</v>
      </c>
      <c r="M49" s="42">
        <v>0.0</v>
      </c>
      <c r="N49" s="42">
        <v>0.0</v>
      </c>
      <c r="O49" s="42">
        <v>0.0</v>
      </c>
      <c r="P49" s="42">
        <v>0.0</v>
      </c>
      <c r="Q49" s="42">
        <v>0.0</v>
      </c>
      <c r="R49" s="8">
        <f t="shared" si="7"/>
        <v>0</v>
      </c>
      <c r="S49" s="9">
        <f t="shared" si="8"/>
        <v>0</v>
      </c>
    </row>
    <row r="50" ht="14.25" customHeight="1">
      <c r="A50" s="5"/>
      <c r="B50" s="5"/>
      <c r="C50" s="33" t="s">
        <v>46</v>
      </c>
      <c r="D50" s="41">
        <v>0.0</v>
      </c>
      <c r="E50" s="41">
        <v>0.0</v>
      </c>
      <c r="F50" s="41">
        <v>0.0</v>
      </c>
      <c r="G50" s="41">
        <v>0.0</v>
      </c>
      <c r="H50" s="41">
        <v>0.0</v>
      </c>
      <c r="I50" s="41">
        <v>0.0</v>
      </c>
      <c r="J50" s="41">
        <v>0.0</v>
      </c>
      <c r="K50" s="41">
        <v>0.0</v>
      </c>
      <c r="L50" s="41">
        <v>0.0</v>
      </c>
      <c r="M50" s="41">
        <v>0.0</v>
      </c>
      <c r="N50" s="41">
        <v>0.0</v>
      </c>
      <c r="O50" s="41">
        <v>0.0</v>
      </c>
      <c r="P50" s="41">
        <v>0.0</v>
      </c>
      <c r="Q50" s="41">
        <v>0.0</v>
      </c>
      <c r="R50" s="8">
        <f t="shared" si="7"/>
        <v>0</v>
      </c>
      <c r="S50" s="9">
        <f t="shared" si="8"/>
        <v>0</v>
      </c>
    </row>
    <row r="51" ht="14.25" customHeight="1">
      <c r="A51" s="5"/>
      <c r="B51" s="5"/>
      <c r="C51" s="28" t="s">
        <v>47</v>
      </c>
      <c r="D51" s="42"/>
      <c r="E51" s="42"/>
      <c r="F51" s="43"/>
      <c r="G51" s="43"/>
      <c r="H51" s="43"/>
      <c r="I51" s="42"/>
      <c r="J51" s="43"/>
      <c r="K51" s="43"/>
      <c r="L51" s="43"/>
      <c r="M51" s="43"/>
      <c r="N51" s="44"/>
      <c r="O51" s="43"/>
      <c r="P51" s="43"/>
      <c r="Q51" s="43"/>
      <c r="R51" s="8">
        <f t="shared" si="7"/>
        <v>0</v>
      </c>
      <c r="S51" s="9">
        <f t="shared" si="8"/>
        <v>0</v>
      </c>
    </row>
    <row r="52" ht="14.25" customHeight="1">
      <c r="A52" s="5"/>
      <c r="B52" s="5"/>
      <c r="C52" s="33" t="s">
        <v>48</v>
      </c>
      <c r="D52" s="17">
        <v>0.0</v>
      </c>
      <c r="E52" s="31">
        <v>1.0</v>
      </c>
      <c r="F52" s="41">
        <v>0.0</v>
      </c>
      <c r="G52" s="41">
        <v>0.0</v>
      </c>
      <c r="H52" s="41">
        <v>0.0</v>
      </c>
      <c r="I52" s="41">
        <v>0.0</v>
      </c>
      <c r="J52" s="41">
        <v>0.0</v>
      </c>
      <c r="K52" s="17">
        <v>0.0</v>
      </c>
      <c r="L52" s="41">
        <v>0.0</v>
      </c>
      <c r="M52" s="41">
        <v>0.0</v>
      </c>
      <c r="N52" s="41">
        <v>0.0</v>
      </c>
      <c r="O52" s="41">
        <v>0.0</v>
      </c>
      <c r="P52" s="41">
        <v>0.0</v>
      </c>
      <c r="Q52" s="41">
        <v>0.0</v>
      </c>
      <c r="R52" s="8">
        <f t="shared" si="7"/>
        <v>1</v>
      </c>
      <c r="S52" s="9">
        <f t="shared" si="8"/>
        <v>0.0005889281508</v>
      </c>
    </row>
    <row r="53" ht="14.25" customHeight="1">
      <c r="A53" s="5"/>
      <c r="B53" s="5"/>
      <c r="C53" s="28" t="s">
        <v>49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45"/>
      <c r="O53" s="14"/>
      <c r="P53" s="32"/>
      <c r="Q53" s="32"/>
      <c r="R53" s="8">
        <f t="shared" si="7"/>
        <v>0</v>
      </c>
      <c r="S53" s="9">
        <f t="shared" si="8"/>
        <v>0</v>
      </c>
    </row>
    <row r="54" ht="14.25" customHeight="1">
      <c r="A54" s="5"/>
      <c r="B54" s="5"/>
      <c r="C54" s="33" t="s">
        <v>50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46"/>
      <c r="O54" s="17"/>
      <c r="P54" s="31"/>
      <c r="Q54" s="31"/>
      <c r="R54" s="8">
        <f t="shared" si="7"/>
        <v>0</v>
      </c>
      <c r="S54" s="9">
        <f t="shared" si="8"/>
        <v>0</v>
      </c>
    </row>
    <row r="55" ht="14.25" customHeight="1">
      <c r="A55" s="5"/>
      <c r="B55" s="5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7"/>
      <c r="S55" s="21"/>
    </row>
    <row r="56" ht="12.75" customHeight="1">
      <c r="A56" s="48"/>
      <c r="B56" s="48"/>
      <c r="C56" s="49" t="s">
        <v>51</v>
      </c>
      <c r="D56" s="41">
        <v>6.0</v>
      </c>
      <c r="E56" s="41">
        <v>0.0</v>
      </c>
      <c r="F56" s="17">
        <v>0.0</v>
      </c>
      <c r="G56" s="41">
        <v>1.0</v>
      </c>
      <c r="H56" s="41">
        <v>0.0</v>
      </c>
      <c r="I56" s="41">
        <v>0.0</v>
      </c>
      <c r="J56" s="41">
        <v>1.0</v>
      </c>
      <c r="K56" s="41">
        <v>0.0</v>
      </c>
      <c r="L56" s="41">
        <v>0.0</v>
      </c>
      <c r="M56" s="41">
        <v>0.0</v>
      </c>
      <c r="N56" s="41">
        <v>0.0</v>
      </c>
      <c r="O56" s="41">
        <v>1.0</v>
      </c>
      <c r="P56" s="41">
        <v>0.0</v>
      </c>
      <c r="Q56" s="17">
        <v>2.0</v>
      </c>
      <c r="R56" s="50">
        <f>SUM(D56:Q56)</f>
        <v>11</v>
      </c>
      <c r="S56" s="9">
        <f>R56/$R$15</f>
        <v>0.006478209658</v>
      </c>
    </row>
    <row r="57" ht="12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21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1:S1"/>
    <mergeCell ref="C18:S18"/>
    <mergeCell ref="C30:S30"/>
  </mergeCells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51" t="str">
        <f>Fluxo!A2</f>
        <v>TOTAL</v>
      </c>
      <c r="F1" s="51">
        <v>2.0</v>
      </c>
      <c r="G1" s="52" t="str">
        <f t="array" ref="G1:G19">TRANSPOSE(Dados!2:2)</f>
        <v/>
      </c>
    </row>
    <row r="2" ht="12.75" customHeight="1">
      <c r="F2" s="51">
        <v>3.0</v>
      </c>
      <c r="G2" s="52" t="s">
        <v>18</v>
      </c>
    </row>
    <row r="3" ht="12.75" customHeight="1">
      <c r="A3" s="52" t="str">
        <f>Dados!B3</f>
        <v>Alfredo Fernandes</v>
      </c>
      <c r="B3" s="52" t="str">
        <f>Dados!C3</f>
        <v>Casa Forte</v>
      </c>
      <c r="F3" s="51">
        <v>4.0</v>
      </c>
      <c r="G3" s="52" t="s">
        <v>19</v>
      </c>
      <c r="Q3" s="52">
        <f>HLOOKUP($A$1,Dados!$D$2:$S$14,F1,0)</f>
        <v>32</v>
      </c>
    </row>
    <row r="4" ht="12.75" customHeight="1">
      <c r="A4" s="52" t="str">
        <f>Dados!B4</f>
        <v>Alfredo Fernandes</v>
      </c>
      <c r="B4" s="52" t="str">
        <f>Dados!C4</f>
        <v>Vintém</v>
      </c>
      <c r="F4" s="51">
        <v>5.0</v>
      </c>
      <c r="G4" s="52">
        <v>6.0</v>
      </c>
      <c r="Q4" s="52">
        <f>HLOOKUP($A$1,Dados!$D$2:$S$14,F2,0)</f>
        <v>228</v>
      </c>
    </row>
    <row r="5" ht="12.75" customHeight="1">
      <c r="A5" s="52" t="str">
        <f>Dados!B5</f>
        <v>Alfredo Fernandes</v>
      </c>
      <c r="B5" s="52" t="str">
        <f>Dados!C5</f>
        <v>Parnamirim</v>
      </c>
      <c r="F5" s="51">
        <v>6.0</v>
      </c>
      <c r="G5" s="52">
        <v>7.0</v>
      </c>
      <c r="Q5" s="52">
        <f>HLOOKUP($A$1,Dados!$D$2:$S$14,F3,0)</f>
        <v>62</v>
      </c>
    </row>
    <row r="6" ht="12.75" customHeight="1">
      <c r="A6" s="52" t="str">
        <f>Dados!B6</f>
        <v>Parnamirim</v>
      </c>
      <c r="B6" s="52" t="str">
        <f>Dados!C6</f>
        <v>Alfredo Fernandes</v>
      </c>
      <c r="F6" s="51">
        <v>7.0</v>
      </c>
      <c r="G6" s="52">
        <v>8.0</v>
      </c>
      <c r="Q6" s="52">
        <f>HLOOKUP($A$1,Dados!$D$2:$S$14,F4,0)</f>
        <v>81</v>
      </c>
    </row>
    <row r="7" ht="12.75" customHeight="1">
      <c r="A7" s="52" t="str">
        <f>Dados!B7</f>
        <v>Parnamirim</v>
      </c>
      <c r="B7" s="52" t="str">
        <f>Dados!C7</f>
        <v>Casa Forte</v>
      </c>
      <c r="F7" s="51">
        <v>8.0</v>
      </c>
      <c r="G7" s="52">
        <v>9.0</v>
      </c>
      <c r="Q7" s="52">
        <f>HLOOKUP($A$1,Dados!$D$2:$S$14,F5,0)</f>
        <v>218</v>
      </c>
    </row>
    <row r="8" ht="12.75" customHeight="1">
      <c r="A8" s="52" t="str">
        <f>Dados!B8</f>
        <v>Parnamirim</v>
      </c>
      <c r="B8" s="52" t="str">
        <f>Dados!C8</f>
        <v>Vintém</v>
      </c>
      <c r="F8" s="51">
        <v>9.0</v>
      </c>
      <c r="G8" s="52">
        <v>10.0</v>
      </c>
      <c r="Q8" s="52">
        <f>HLOOKUP($A$1,Dados!$D$2:$S$14,F6,0)</f>
        <v>202</v>
      </c>
    </row>
    <row r="9" ht="12.75" customHeight="1">
      <c r="A9" s="52" t="str">
        <f>Dados!B9</f>
        <v>Vintém</v>
      </c>
      <c r="B9" s="52" t="str">
        <f>Dados!C9</f>
        <v>Parnamirim</v>
      </c>
      <c r="F9" s="51">
        <v>10.0</v>
      </c>
      <c r="G9" s="52">
        <v>11.0</v>
      </c>
      <c r="Q9" s="52">
        <f>HLOOKUP($A$1,Dados!$D$2:$S$14,F7,0)</f>
        <v>188</v>
      </c>
    </row>
    <row r="10" ht="12.75" customHeight="1">
      <c r="A10" s="52" t="str">
        <f>Dados!B10</f>
        <v>Vintém</v>
      </c>
      <c r="B10" s="52" t="str">
        <f>Dados!C10</f>
        <v>Alfredo Fernandes</v>
      </c>
      <c r="F10" s="51">
        <v>11.0</v>
      </c>
      <c r="G10" s="52">
        <v>12.0</v>
      </c>
      <c r="Q10" s="52">
        <f>HLOOKUP($A$1,Dados!$D$2:$S$14,F8,0)</f>
        <v>158</v>
      </c>
    </row>
    <row r="11" ht="12.75" customHeight="1">
      <c r="A11" s="52" t="str">
        <f>Dados!B11</f>
        <v>Vintém</v>
      </c>
      <c r="B11" s="52" t="str">
        <f>Dados!C11</f>
        <v>Casa Forte</v>
      </c>
      <c r="F11" s="51">
        <v>12.0</v>
      </c>
      <c r="G11" s="52">
        <v>13.0</v>
      </c>
      <c r="Q11" s="52">
        <f>HLOOKUP($A$1,Dados!$D$2:$S$14,F9,0)</f>
        <v>69</v>
      </c>
    </row>
    <row r="12" ht="12.75" customHeight="1">
      <c r="A12" s="52" t="str">
        <f>Dados!B12</f>
        <v>Casa Forte</v>
      </c>
      <c r="B12" s="52" t="str">
        <f>Dados!C12</f>
        <v>Vintém</v>
      </c>
      <c r="F12" s="51">
        <v>13.0</v>
      </c>
      <c r="G12" s="52">
        <v>14.0</v>
      </c>
      <c r="Q12" s="52">
        <f>HLOOKUP($A$1,Dados!$D$2:$S$14,F10,0)</f>
        <v>151</v>
      </c>
    </row>
    <row r="13" ht="12.75" customHeight="1">
      <c r="A13" s="52" t="str">
        <f>Dados!B13</f>
        <v>Casa Forte</v>
      </c>
      <c r="B13" s="52" t="str">
        <f>Dados!C13</f>
        <v>Parnamirim</v>
      </c>
      <c r="G13" s="52">
        <v>15.0</v>
      </c>
      <c r="Q13" s="52">
        <f>HLOOKUP($A$1,Dados!$D$2:$S$14,F11,0)</f>
        <v>261</v>
      </c>
    </row>
    <row r="14" ht="12.75" customHeight="1">
      <c r="A14" s="52" t="str">
        <f>Dados!B14</f>
        <v>Casa Forte</v>
      </c>
      <c r="B14" s="52" t="str">
        <f>Dados!C14</f>
        <v>Alfredo Fernandes</v>
      </c>
      <c r="G14" s="52">
        <v>16.0</v>
      </c>
      <c r="Q14" s="52">
        <f>HLOOKUP($A$1,Dados!$D$2:$S$14,F12,0)</f>
        <v>48</v>
      </c>
    </row>
    <row r="15" ht="12.75" customHeight="1">
      <c r="G15" s="52">
        <v>17.0</v>
      </c>
    </row>
    <row r="16" ht="12.75" customHeight="1">
      <c r="G16" s="52">
        <v>18.0</v>
      </c>
    </row>
    <row r="17" ht="12.75" customHeight="1">
      <c r="G17" s="52">
        <v>19.0</v>
      </c>
    </row>
    <row r="18" ht="12.75" customHeight="1">
      <c r="G18" s="52" t="s">
        <v>20</v>
      </c>
    </row>
    <row r="19" ht="12.75" customHeight="1">
      <c r="G19" s="53" t="s">
        <v>21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15" width="6.38"/>
  </cols>
  <sheetData>
    <row r="1" ht="12.75" customHeight="1">
      <c r="A1" s="54" t="s">
        <v>52</v>
      </c>
    </row>
    <row r="2" ht="12.75" customHeight="1">
      <c r="A2" s="55" t="s">
        <v>53</v>
      </c>
      <c r="B2" s="56">
        <f>Dados!D2</f>
        <v>6</v>
      </c>
      <c r="C2" s="56">
        <f>Dados!E2</f>
        <v>7</v>
      </c>
      <c r="D2" s="56">
        <f>Dados!F2</f>
        <v>8</v>
      </c>
      <c r="E2" s="56">
        <f>Dados!G2</f>
        <v>9</v>
      </c>
      <c r="F2" s="56">
        <f>Dados!H2</f>
        <v>10</v>
      </c>
      <c r="G2" s="56">
        <f>Dados!I2</f>
        <v>11</v>
      </c>
      <c r="H2" s="56">
        <f>Dados!J2</f>
        <v>12</v>
      </c>
      <c r="I2" s="56">
        <f>Dados!K2</f>
        <v>13</v>
      </c>
      <c r="J2" s="56">
        <f>Dados!L2</f>
        <v>14</v>
      </c>
      <c r="K2" s="56">
        <f>Dados!M2</f>
        <v>15</v>
      </c>
      <c r="L2" s="56">
        <f>Dados!N2</f>
        <v>16</v>
      </c>
      <c r="M2" s="56">
        <f>Dados!O2</f>
        <v>17</v>
      </c>
      <c r="N2" s="56">
        <f>Dados!P2</f>
        <v>18</v>
      </c>
      <c r="O2" s="56">
        <f>Dados!Q2</f>
        <v>19</v>
      </c>
    </row>
    <row r="3" ht="12.75" customHeight="1">
      <c r="A3" s="57" t="s">
        <v>54</v>
      </c>
      <c r="B3" s="58">
        <f>Dados!D15-B4-B5</f>
        <v>91</v>
      </c>
      <c r="C3" s="58">
        <f>Dados!E15-C4-C5</f>
        <v>109</v>
      </c>
      <c r="D3" s="58">
        <f>Dados!F15-D4-D5</f>
        <v>66</v>
      </c>
      <c r="E3" s="58">
        <f>Dados!G15-E4-E5</f>
        <v>56</v>
      </c>
      <c r="F3" s="58">
        <f>Dados!H15-F4-F5</f>
        <v>68</v>
      </c>
      <c r="G3" s="58">
        <f>Dados!I15-G4-G5</f>
        <v>104</v>
      </c>
      <c r="H3" s="58">
        <f>Dados!J15-H4-H5</f>
        <v>119</v>
      </c>
      <c r="I3" s="58">
        <f>Dados!K15-I4-I5</f>
        <v>100</v>
      </c>
      <c r="J3" s="58">
        <f>Dados!L15-J4-J5</f>
        <v>123</v>
      </c>
      <c r="K3" s="58">
        <f>Dados!M15-K4-K5</f>
        <v>84</v>
      </c>
      <c r="L3" s="58">
        <f>Dados!N15-L4-L5</f>
        <v>169</v>
      </c>
      <c r="M3" s="58">
        <f>Dados!O15-M4-M5</f>
        <v>168</v>
      </c>
      <c r="N3" s="58">
        <f>Dados!P15-N4-N5</f>
        <v>150</v>
      </c>
      <c r="O3" s="58">
        <f>Dados!Q15-O4-O5</f>
        <v>96</v>
      </c>
    </row>
    <row r="4" ht="12.75" customHeight="1">
      <c r="A4" s="55" t="s">
        <v>55</v>
      </c>
      <c r="B4" s="56">
        <f>Dados!D20</f>
        <v>9</v>
      </c>
      <c r="C4" s="56">
        <f>Dados!E20</f>
        <v>18</v>
      </c>
      <c r="D4" s="56">
        <f>Dados!F20</f>
        <v>11</v>
      </c>
      <c r="E4" s="56">
        <f>Dados!G20</f>
        <v>12</v>
      </c>
      <c r="F4" s="56">
        <f>Dados!H20</f>
        <v>4</v>
      </c>
      <c r="G4" s="56">
        <f>Dados!I20</f>
        <v>12</v>
      </c>
      <c r="H4" s="56">
        <f>Dados!J20</f>
        <v>9</v>
      </c>
      <c r="I4" s="56">
        <f>Dados!K20</f>
        <v>10</v>
      </c>
      <c r="J4" s="59">
        <f>Dados!L20</f>
        <v>13</v>
      </c>
      <c r="K4" s="56">
        <f>Dados!M20</f>
        <v>10</v>
      </c>
      <c r="L4" s="56">
        <f>Dados!N20</f>
        <v>24</v>
      </c>
      <c r="M4" s="56">
        <f>Dados!O20</f>
        <v>17</v>
      </c>
      <c r="N4" s="56">
        <f>Dados!P20</f>
        <v>8</v>
      </c>
      <c r="O4" s="56">
        <f>Dados!Q20</f>
        <v>9</v>
      </c>
    </row>
    <row r="5" ht="12.75" customHeight="1">
      <c r="A5" s="57" t="s">
        <v>10</v>
      </c>
      <c r="B5" s="60">
        <f>Dados!D21</f>
        <v>1</v>
      </c>
      <c r="C5" s="60">
        <f>Dados!E21</f>
        <v>2</v>
      </c>
      <c r="D5" s="60">
        <f>Dados!F21</f>
        <v>0</v>
      </c>
      <c r="E5" s="60">
        <f>Dados!G21</f>
        <v>0</v>
      </c>
      <c r="F5" s="60">
        <f>Dados!H21</f>
        <v>0</v>
      </c>
      <c r="G5" s="60">
        <f>Dados!I21</f>
        <v>0</v>
      </c>
      <c r="H5" s="60">
        <f>Dados!J21</f>
        <v>2</v>
      </c>
      <c r="I5" s="60">
        <f>Dados!K21</f>
        <v>7</v>
      </c>
      <c r="J5" s="60">
        <f>Dados!L21</f>
        <v>0</v>
      </c>
      <c r="K5" s="60">
        <f>Dados!M21</f>
        <v>1</v>
      </c>
      <c r="L5" s="60">
        <f>Dados!N21</f>
        <v>10</v>
      </c>
      <c r="M5" s="60">
        <f>Dados!O21</f>
        <v>4</v>
      </c>
      <c r="N5" s="60">
        <f>Dados!P21</f>
        <v>2</v>
      </c>
      <c r="O5" s="60">
        <f>Dados!Q21</f>
        <v>0</v>
      </c>
    </row>
    <row r="6" ht="12.75" customHeight="1"/>
    <row r="7" ht="12.75" customHeight="1">
      <c r="A7" s="61" t="s">
        <v>56</v>
      </c>
    </row>
    <row r="8" ht="12.75" customHeight="1">
      <c r="A8" s="55" t="s">
        <v>57</v>
      </c>
      <c r="B8" s="56">
        <v>6.0</v>
      </c>
      <c r="C8" s="56">
        <v>7.0</v>
      </c>
      <c r="D8" s="56">
        <v>8.0</v>
      </c>
      <c r="E8" s="56">
        <v>9.0</v>
      </c>
      <c r="F8" s="56">
        <v>10.0</v>
      </c>
      <c r="G8" s="56">
        <v>11.0</v>
      </c>
      <c r="H8" s="56">
        <v>12.0</v>
      </c>
      <c r="I8" s="56">
        <v>13.0</v>
      </c>
      <c r="J8" s="56">
        <v>14.0</v>
      </c>
      <c r="K8" s="56">
        <v>15.0</v>
      </c>
      <c r="L8" s="56">
        <v>16.0</v>
      </c>
      <c r="M8" s="56">
        <v>17.0</v>
      </c>
      <c r="N8" s="56">
        <v>18.0</v>
      </c>
      <c r="O8" s="56">
        <v>19.0</v>
      </c>
    </row>
    <row r="9" ht="12.75" customHeight="1">
      <c r="A9" s="62" t="s">
        <v>55</v>
      </c>
      <c r="B9" s="63">
        <f>B4/Dados!D$15</f>
        <v>0.08910891089</v>
      </c>
      <c r="C9" s="63">
        <f>C4/Dados!E$15</f>
        <v>0.1395348837</v>
      </c>
      <c r="D9" s="63">
        <f>D4/Dados!F$15</f>
        <v>0.1428571429</v>
      </c>
      <c r="E9" s="63">
        <f>E4/Dados!G$15</f>
        <v>0.1764705882</v>
      </c>
      <c r="F9" s="63">
        <f>F4/Dados!H$15</f>
        <v>0.05555555556</v>
      </c>
      <c r="G9" s="63">
        <f>G4/Dados!I$15</f>
        <v>0.1034482759</v>
      </c>
      <c r="H9" s="63">
        <f>H4/Dados!J$15</f>
        <v>0.06923076923</v>
      </c>
      <c r="I9" s="63">
        <f>I4/Dados!K$15</f>
        <v>0.08547008547</v>
      </c>
      <c r="J9" s="63">
        <f>J4/Dados!L$15</f>
        <v>0.09558823529</v>
      </c>
      <c r="K9" s="63">
        <f>K4/Dados!M$15</f>
        <v>0.1052631579</v>
      </c>
      <c r="L9" s="63">
        <f>L4/Dados!N$15</f>
        <v>0.118226601</v>
      </c>
      <c r="M9" s="63">
        <f>M4/Dados!O$15</f>
        <v>0.08994708995</v>
      </c>
      <c r="N9" s="63">
        <f>N4/Dados!P$15</f>
        <v>0.05</v>
      </c>
      <c r="O9" s="63">
        <f>O4/Dados!Q$15</f>
        <v>0.08571428571</v>
      </c>
    </row>
    <row r="10" ht="12.75" customHeight="1">
      <c r="A10" s="55" t="s">
        <v>10</v>
      </c>
      <c r="B10" s="64">
        <f>B5/Dados!D$15</f>
        <v>0.009900990099</v>
      </c>
      <c r="C10" s="64">
        <f>C5/Dados!E$15</f>
        <v>0.01550387597</v>
      </c>
      <c r="D10" s="64">
        <f>D5/Dados!F$15</f>
        <v>0</v>
      </c>
      <c r="E10" s="64">
        <f>E5/Dados!G$15</f>
        <v>0</v>
      </c>
      <c r="F10" s="64">
        <f>F5/Dados!H$15</f>
        <v>0</v>
      </c>
      <c r="G10" s="64">
        <f>G5/Dados!I$15</f>
        <v>0</v>
      </c>
      <c r="H10" s="64">
        <f>H5/Dados!J$15</f>
        <v>0.01538461538</v>
      </c>
      <c r="I10" s="64">
        <f>I5/Dados!K$15</f>
        <v>0.05982905983</v>
      </c>
      <c r="J10" s="64">
        <f>J5/Dados!L$15</f>
        <v>0</v>
      </c>
      <c r="K10" s="64">
        <f>K5/Dados!M$15</f>
        <v>0.01052631579</v>
      </c>
      <c r="L10" s="64">
        <f>L5/Dados!N$15</f>
        <v>0.04926108374</v>
      </c>
      <c r="M10" s="64">
        <f>M5/Dados!O$15</f>
        <v>0.02116402116</v>
      </c>
      <c r="N10" s="64">
        <f>N5/Dados!P$15</f>
        <v>0.0125</v>
      </c>
      <c r="O10" s="64">
        <f>O5/Dados!Q$15</f>
        <v>0</v>
      </c>
    </row>
    <row r="11" ht="12.75" customHeight="1"/>
    <row r="12" ht="12.75" customHeight="1">
      <c r="A12" s="65" t="str">
        <f>Dados!C19</f>
        <v>Característica</v>
      </c>
      <c r="B12" s="66" t="str">
        <f>Dados!S19</f>
        <v>%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</row>
    <row r="13" ht="12.75" customHeight="1">
      <c r="A13" s="65" t="str">
        <f>Dados!C20</f>
        <v>Mulher</v>
      </c>
      <c r="B13" s="66">
        <f>Dados!S20</f>
        <v>0.09776207303</v>
      </c>
    </row>
    <row r="14" ht="12.75" customHeight="1">
      <c r="A14" s="65" t="str">
        <f>Dados!C21</f>
        <v>Crianças e adolescentes</v>
      </c>
      <c r="B14" s="66">
        <f>Dados!S21</f>
        <v>0.01707891637</v>
      </c>
    </row>
    <row r="15" ht="12.75" customHeight="1">
      <c r="A15" s="65" t="str">
        <f>Dados!C22</f>
        <v>Capacete</v>
      </c>
      <c r="B15" s="66">
        <f>Dados!S22</f>
        <v>0.0382803298</v>
      </c>
    </row>
    <row r="16" ht="12.75" customHeight="1">
      <c r="A16" s="65" t="s">
        <v>12</v>
      </c>
      <c r="B16" s="66">
        <f>SUM(Dados!S32:S34)</f>
        <v>0.04358068316</v>
      </c>
    </row>
    <row r="17" ht="12.75" customHeight="1">
      <c r="A17" s="65" t="str">
        <f>Dados!C35</f>
        <v>Cargueira tradicional</v>
      </c>
      <c r="B17" s="66">
        <f>Dados!S35</f>
        <v>0.07008244994</v>
      </c>
    </row>
    <row r="18" ht="12.75" customHeight="1">
      <c r="A18" s="65" t="str">
        <f>Dados!C37</f>
        <v>Serviço</v>
      </c>
      <c r="B18" s="66">
        <f>Dados!S37</f>
        <v>0.03121319199</v>
      </c>
    </row>
    <row r="19" ht="12.75" customHeight="1">
      <c r="A19" s="65" t="str">
        <f>Dados!C39</f>
        <v>Contramão</v>
      </c>
      <c r="B19" s="66">
        <f>Dados!S39</f>
        <v>0.06124852768</v>
      </c>
    </row>
    <row r="20" ht="12.75" customHeight="1">
      <c r="A20" s="65" t="str">
        <f>Dados!C27</f>
        <v>Calçada</v>
      </c>
      <c r="B20" s="66">
        <f>Dados!S27</f>
        <v>0.09363957597</v>
      </c>
    </row>
    <row r="21" ht="12.75" customHeight="1">
      <c r="A21" s="67"/>
      <c r="B21" s="67"/>
    </row>
    <row r="22" ht="12.75" customHeight="1">
      <c r="A22" s="67"/>
      <c r="B22" s="67"/>
    </row>
    <row r="23" ht="12.75" customHeight="1">
      <c r="A23" s="67"/>
      <c r="B23" s="67"/>
    </row>
    <row r="24" ht="12.75" customHeight="1">
      <c r="A24" s="67"/>
      <c r="B24" s="67"/>
    </row>
    <row r="25" ht="12.75" customHeight="1">
      <c r="A25" s="67"/>
      <c r="B25" s="67"/>
    </row>
    <row r="26" ht="12.75" customHeight="1">
      <c r="A26" s="67"/>
      <c r="B26" s="67"/>
    </row>
    <row r="27" ht="12.75" customHeight="1">
      <c r="A27" s="67"/>
      <c r="B27" s="67"/>
    </row>
    <row r="28" ht="12.75" customHeight="1">
      <c r="A28" s="67"/>
      <c r="B28" s="67"/>
    </row>
    <row r="29" ht="12.75" customHeight="1">
      <c r="A29" s="67"/>
      <c r="B29" s="67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68" t="s">
        <v>58</v>
      </c>
      <c r="B1" s="69"/>
      <c r="C1" s="70"/>
      <c r="D1" s="71"/>
      <c r="E1" s="72" t="str">
        <f>UPPER(CONFFLUXO!A3)</f>
        <v>ALFREDO FERNANDES</v>
      </c>
      <c r="F1" s="69"/>
      <c r="G1" s="70"/>
      <c r="H1" s="71"/>
      <c r="I1" s="71"/>
      <c r="J1" s="71"/>
      <c r="K1" s="71"/>
    </row>
    <row r="2" ht="22.5" customHeight="1">
      <c r="A2" s="73" t="s">
        <v>20</v>
      </c>
      <c r="B2" s="69"/>
      <c r="C2" s="70"/>
      <c r="D2" s="71"/>
      <c r="E2" s="74">
        <f>SUM(E3:G3)</f>
        <v>322</v>
      </c>
      <c r="F2" s="69"/>
      <c r="G2" s="70"/>
      <c r="H2" s="71"/>
      <c r="I2" s="71"/>
      <c r="J2" s="71"/>
      <c r="K2" s="71"/>
    </row>
    <row r="3" ht="22.5" customHeight="1">
      <c r="A3" s="75"/>
      <c r="B3" s="75"/>
      <c r="C3" s="75"/>
      <c r="D3" s="76"/>
      <c r="E3" s="77">
        <f>CONFFLUXO!Q3</f>
        <v>32</v>
      </c>
      <c r="F3" s="77">
        <f>CONFFLUXO!Q4</f>
        <v>228</v>
      </c>
      <c r="G3" s="77">
        <f>CONFFLUXO!Q5</f>
        <v>62</v>
      </c>
      <c r="H3" s="71"/>
      <c r="I3" s="71"/>
      <c r="J3" s="71"/>
      <c r="K3" s="71"/>
    </row>
    <row r="4" ht="25.5" customHeight="1">
      <c r="A4" s="78"/>
      <c r="B4" s="78"/>
      <c r="C4" s="75"/>
      <c r="D4" s="75"/>
      <c r="E4" s="71"/>
      <c r="F4" s="71"/>
      <c r="G4" s="71"/>
      <c r="H4" s="79"/>
      <c r="I4" s="79"/>
      <c r="J4" s="80"/>
      <c r="K4" s="80"/>
    </row>
    <row r="5" ht="71.25" customHeight="1">
      <c r="A5" s="81" t="str">
        <f>UPPER(CONFFLUXO!A12)</f>
        <v>CASA FORTE</v>
      </c>
      <c r="B5" s="82">
        <f>SUM(C5:C7)</f>
        <v>460</v>
      </c>
      <c r="C5" s="83">
        <f>CONFFLUXO!Q14</f>
        <v>48</v>
      </c>
      <c r="D5" s="75"/>
      <c r="E5" s="71"/>
      <c r="F5" s="71"/>
      <c r="G5" s="71"/>
      <c r="H5" s="79"/>
      <c r="I5" s="84">
        <f>CONFFLUXO!Q6</f>
        <v>81</v>
      </c>
      <c r="J5" s="85">
        <f>SUM(I5:I7)</f>
        <v>501</v>
      </c>
      <c r="K5" s="86" t="str">
        <f>UPPER(CONFFLUXO!A6)</f>
        <v>PARNAMIRIM</v>
      </c>
    </row>
    <row r="6" ht="71.25" customHeight="1">
      <c r="A6" s="87"/>
      <c r="B6" s="87"/>
      <c r="C6" s="83">
        <f>CONFFLUXO!Q13</f>
        <v>261</v>
      </c>
      <c r="D6" s="75"/>
      <c r="E6" s="71"/>
      <c r="F6" s="88">
        <f>SUM(E3:G3,I5:I7,E9:G9,C5:C7)</f>
        <v>1698</v>
      </c>
      <c r="G6" s="71"/>
      <c r="H6" s="79"/>
      <c r="I6" s="84">
        <f>CONFFLUXO!Q7</f>
        <v>218</v>
      </c>
      <c r="J6" s="87"/>
      <c r="K6" s="87"/>
    </row>
    <row r="7" ht="71.25" customHeight="1">
      <c r="A7" s="89"/>
      <c r="B7" s="89"/>
      <c r="C7" s="83">
        <f>CONFFLUXO!Q12</f>
        <v>151</v>
      </c>
      <c r="D7" s="75"/>
      <c r="E7" s="71"/>
      <c r="F7" s="71"/>
      <c r="G7" s="71"/>
      <c r="H7" s="79"/>
      <c r="I7" s="84">
        <f>CONFFLUXO!Q8</f>
        <v>202</v>
      </c>
      <c r="J7" s="89"/>
      <c r="K7" s="89"/>
    </row>
    <row r="8" ht="27.0" customHeight="1">
      <c r="A8" s="75"/>
      <c r="B8" s="75"/>
      <c r="C8" s="75"/>
      <c r="D8" s="75"/>
      <c r="E8" s="71"/>
      <c r="F8" s="71"/>
      <c r="G8" s="71"/>
      <c r="H8" s="71"/>
      <c r="I8" s="71"/>
      <c r="J8" s="71"/>
      <c r="K8" s="71"/>
    </row>
    <row r="9" ht="22.5" customHeight="1">
      <c r="A9" s="75"/>
      <c r="B9" s="75"/>
      <c r="C9" s="90"/>
      <c r="D9" s="90"/>
      <c r="E9" s="91">
        <f>CONFFLUXO!Q11</f>
        <v>69</v>
      </c>
      <c r="F9" s="91">
        <f>CONFFLUXO!Q10</f>
        <v>158</v>
      </c>
      <c r="G9" s="91">
        <f>CONFFLUXO!Q9</f>
        <v>188</v>
      </c>
      <c r="H9" s="71"/>
      <c r="I9" s="71"/>
      <c r="J9" s="71"/>
      <c r="K9" s="71"/>
    </row>
    <row r="10" ht="22.5" customHeight="1">
      <c r="A10" s="75"/>
      <c r="B10" s="75"/>
      <c r="C10" s="75"/>
      <c r="D10" s="75"/>
      <c r="E10" s="74">
        <f>SUM(E9:G9)</f>
        <v>415</v>
      </c>
      <c r="F10" s="69"/>
      <c r="G10" s="70"/>
      <c r="H10" s="71"/>
      <c r="I10" s="71"/>
      <c r="J10" s="71"/>
      <c r="K10" s="71"/>
    </row>
    <row r="11" ht="22.5" customHeight="1">
      <c r="A11" s="75"/>
      <c r="B11" s="75"/>
      <c r="C11" s="75"/>
      <c r="D11" s="75"/>
      <c r="E11" s="72" t="str">
        <f>UPPER(CONFFLUXO!A9)</f>
        <v>VINTÉM</v>
      </c>
      <c r="F11" s="69"/>
      <c r="G11" s="70"/>
      <c r="H11" s="71"/>
      <c r="I11" s="71"/>
      <c r="J11" s="71"/>
      <c r="K11" s="92">
        <f>MAX(3:3,I:I,9:9,C:C)</f>
        <v>261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1" t="s">
        <v>59</v>
      </c>
      <c r="B1" s="4"/>
    </row>
    <row r="2" ht="12.75" customHeight="1">
      <c r="A2" s="1" t="s">
        <v>60</v>
      </c>
      <c r="B2" s="4"/>
    </row>
    <row r="3" ht="12.75" customHeight="1">
      <c r="A3" s="1" t="s">
        <v>61</v>
      </c>
      <c r="B3" s="4"/>
    </row>
    <row r="4" ht="12.75" customHeight="1">
      <c r="A4" s="1" t="s">
        <v>62</v>
      </c>
      <c r="B4" s="4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