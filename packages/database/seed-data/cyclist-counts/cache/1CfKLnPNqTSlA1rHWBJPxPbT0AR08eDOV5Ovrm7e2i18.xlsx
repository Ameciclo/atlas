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visible" name="Original" sheetId="3" r:id="rId6"/>
    <sheet state="visible" name="Base projeção" sheetId="4" r:id="rId7"/>
    <sheet state="hidden" name="CONFFLUXO" sheetId="5" r:id="rId8"/>
    <sheet state="visible" name="Gráficos" sheetId="6" r:id="rId9"/>
    <sheet state="visible" name="Fluxo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Projeção a partir do horário de pico</t>
      </text>
    </comment>
  </commentList>
</comments>
</file>

<file path=xl/sharedStrings.xml><?xml version="1.0" encoding="utf-8"?>
<sst xmlns="http://schemas.openxmlformats.org/spreadsheetml/2006/main" count="214" uniqueCount="53">
  <si>
    <t>Cruzamento</t>
  </si>
  <si>
    <t>Av. Cons. Rosa e Silva x Av. Dr. Malaquias</t>
  </si>
  <si>
    <t>Data</t>
  </si>
  <si>
    <t>Coordenadas Geográficas</t>
  </si>
  <si>
    <t>-8.03812, -34.90057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</si>
  <si>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</si>
  <si>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</si>
  <si>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</si>
  <si>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</si>
  <si>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</si>
  <si>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</si>
  <si>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</si>
  <si>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</si>
  <si>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</si>
  <si>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</si>
  <si>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</si>
  <si>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</si>
  <si>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</si>
  <si>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</si>
  <si>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</si>
  <si>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</si>
  <si>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Jaqueira</t>
  </si>
  <si>
    <t>Graças</t>
  </si>
  <si>
    <t>Aflitos</t>
  </si>
  <si>
    <t>Rosarinho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</si>
  <si>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</si>
  <si>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</si>
  <si>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</si>
  <si>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</si>
  <si>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</si>
  <si>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</si>
  <si>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</si>
  <si>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</si>
  <si>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</si>
  <si>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Serviço App</t>
  </si>
  <si>
    <t>Contramao</t>
  </si>
  <si>
    <t>Contramão para conversão</t>
  </si>
  <si>
    <t>Bike PE</t>
  </si>
  <si>
    <t>Triciclo</t>
  </si>
  <si>
    <t>Eletrica</t>
  </si>
  <si>
    <t>Skate</t>
  </si>
  <si>
    <t>Grupos de pedal</t>
  </si>
  <si>
    <t>Faixa Azul</t>
  </si>
  <si>
    <t>Empurrando</t>
  </si>
  <si>
    <t>Rio Capibaribe</t>
  </si>
  <si>
    <t>AUMENTO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</si>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</sst>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3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>
      <name val="Arial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4" numFmtId="10" xfId="0" applyAlignment="1" applyFont="1" applyNumberFormat="1">
      <alignment horizontal="center" shrinkToFit="0" vertical="center" wrapText="0"/>
    </xf>
    <xf borderId="0" fillId="4" fontId="4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4" fontId="3" numFmtId="0" xfId="0" applyAlignment="1" applyFont="1">
      <alignment readingOrder="0" shrinkToFit="0" vertical="bottom" wrapText="1"/>
    </xf>
    <xf borderId="0" fillId="4" fontId="3" numFmtId="0" xfId="0" applyAlignment="1" applyFont="1">
      <alignment horizontal="center" readingOrder="0" shrinkToFit="0" vertical="center" wrapText="0"/>
    </xf>
    <xf borderId="0" fillId="5" fontId="3" numFmtId="0" xfId="0" applyAlignment="1" applyFill="1" applyFont="1">
      <alignment readingOrder="0" shrinkToFit="0" vertical="bottom" wrapText="1"/>
    </xf>
    <xf borderId="0" fillId="5" fontId="3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shrinkToFit="0" vertical="bottom" wrapText="1"/>
    </xf>
    <xf borderId="0" fillId="4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4" fontId="3" numFmtId="0" xfId="0" applyAlignment="1" applyFont="1">
      <alignment readingOrder="0" shrinkToFit="0" vertical="bottom" wrapText="0"/>
    </xf>
    <xf borderId="0" fillId="4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5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right" shrinkToFit="0" vertical="bottom" wrapText="1"/>
    </xf>
    <xf borderId="0" fillId="4" fontId="3" numFmtId="0" xfId="0" applyAlignment="1" applyFont="1">
      <alignment horizontal="right" shrinkToFit="0" vertical="bottom" wrapText="1"/>
    </xf>
    <xf borderId="0" fillId="2" fontId="1" numFmtId="0" xfId="0" applyAlignment="1" applyFont="1">
      <alignment horizontal="center" shrinkToFit="0" vertical="bottom" wrapText="0"/>
    </xf>
    <xf borderId="0" fillId="3" fontId="1" numFmtId="0" xfId="0" applyAlignment="1" applyFont="1">
      <alignment shrinkToFit="0" vertical="bottom" wrapText="0"/>
    </xf>
    <xf borderId="0" fillId="3" fontId="1" numFmtId="0" xfId="0" applyAlignment="1" applyFont="1">
      <alignment horizontal="center" shrinkToFit="0" wrapText="0"/>
    </xf>
    <xf borderId="0" fillId="2" fontId="1" numFmtId="165" xfId="0" applyAlignment="1" applyFont="1" applyNumberFormat="1">
      <alignment horizontal="center" shrinkToFit="0" wrapText="0"/>
    </xf>
    <xf borderId="0" fillId="4" fontId="3" numFmtId="0" xfId="0" applyAlignment="1" applyFont="1">
      <alignment shrinkToFit="0" vertical="bottom" wrapText="0"/>
    </xf>
    <xf borderId="0" fillId="4" fontId="3" numFmtId="0" xfId="0" applyAlignment="1" applyFont="1">
      <alignment horizontal="right" shrinkToFit="0" vertical="bottom" wrapText="0"/>
    </xf>
    <xf borderId="0" fillId="5" fontId="3" numFmtId="0" xfId="0" applyAlignment="1" applyFont="1">
      <alignment shrinkToFit="0" vertical="bottom" wrapText="0"/>
    </xf>
    <xf borderId="0" fillId="5" fontId="3" numFmtId="0" xfId="0" applyAlignment="1" applyFont="1">
      <alignment horizontal="right" shrinkToFit="0" vertical="bottom" wrapText="0"/>
    </xf>
    <xf borderId="0" fillId="2" fontId="1" numFmtId="10" xfId="0" applyAlignment="1" applyFont="1" applyNumberFormat="1">
      <alignment horizontal="center" shrinkToFit="0" wrapText="0"/>
    </xf>
    <xf borderId="0" fillId="2" fontId="1" numFmtId="10" xfId="0" applyAlignment="1" applyFont="1" applyNumberFormat="1">
      <alignment horizontal="center" shrinkToFit="0" wrapText="0"/>
    </xf>
    <xf borderId="0" fillId="4" fontId="6" numFmtId="10" xfId="0" applyAlignment="1" applyFont="1" applyNumberFormat="1">
      <alignment shrinkToFit="0" vertical="bottom" wrapText="1"/>
    </xf>
    <xf borderId="0" fillId="4" fontId="6" numFmtId="10" xfId="0" applyAlignment="1" applyFont="1" applyNumberFormat="1">
      <alignment shrinkToFit="0" wrapText="1"/>
    </xf>
    <xf borderId="0" fillId="4" fontId="6" numFmtId="165" xfId="0" applyAlignment="1" applyFont="1" applyNumberFormat="1">
      <alignment shrinkToFit="0" wrapText="1"/>
    </xf>
    <xf borderId="0" fillId="2" fontId="6" numFmtId="0" xfId="0" applyAlignment="1" applyFont="1">
      <alignment shrinkToFit="0" vertical="bottom" wrapText="1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horizontal="right" shrinkToFit="0" vertical="bottom" wrapText="1"/>
    </xf>
    <xf borderId="0" fillId="5" fontId="3" numFmtId="0" xfId="0" applyAlignment="1" applyFont="1">
      <alignment shrinkToFit="0" vertical="bottom" wrapText="1"/>
    </xf>
    <xf borderId="0" fillId="5" fontId="3" numFmtId="0" xfId="0" applyAlignment="1" applyFont="1">
      <alignment horizontal="right" shrinkToFit="0" vertical="bottom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shrinkToFit="0" wrapText="1"/>
    </xf>
    <xf borderId="0" fillId="0" fontId="6" numFmtId="165" xfId="0" applyAlignment="1" applyFont="1" applyNumberFormat="1">
      <alignment shrinkToFit="0" wrapText="1"/>
    </xf>
    <xf borderId="0" fillId="0" fontId="7" numFmtId="0" xfId="0" applyAlignment="1" applyFont="1">
      <alignment readingOrder="0" shrinkToFit="0" wrapText="1"/>
    </xf>
    <xf borderId="0" fillId="0" fontId="7" numFmtId="165" xfId="0" applyAlignment="1" applyFont="1" applyNumberFormat="1">
      <alignment shrinkToFit="0" wrapText="1"/>
    </xf>
    <xf borderId="0" fillId="6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4" fontId="7" numFmtId="0" xfId="0" applyAlignment="1" applyFont="1">
      <alignment shrinkToFit="0" wrapText="1"/>
    </xf>
    <xf borderId="0" fillId="5" fontId="7" numFmtId="0" xfId="0" applyAlignment="1" applyFont="1">
      <alignment readingOrder="0" shrinkToFit="0" wrapText="1"/>
    </xf>
    <xf borderId="0" fillId="5" fontId="7" numFmtId="0" xfId="0" applyAlignment="1" applyFont="1">
      <alignment shrinkToFit="0" wrapText="1"/>
    </xf>
    <xf borderId="0" fillId="7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8" fontId="7" numFmtId="0" xfId="0" applyAlignment="1" applyFill="1" applyFont="1">
      <alignment readingOrder="0" shrinkToFit="0" wrapText="1"/>
    </xf>
    <xf borderId="0" fillId="8" fontId="7" numFmtId="165" xfId="0" applyAlignment="1" applyFont="1" applyNumberFormat="1">
      <alignment shrinkToFit="0" wrapText="1"/>
    </xf>
    <xf borderId="0" fillId="4" fontId="7" numFmtId="165" xfId="0" applyAlignment="1" applyFont="1" applyNumberFormat="1">
      <alignment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165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 shrinkToFit="0" textRotation="0" vertical="center" wrapText="1"/>
    </xf>
    <xf borderId="2" fillId="0" fontId="7" numFmtId="0" xfId="0" applyAlignment="1" applyBorder="1" applyFont="1">
      <alignment shrinkToFit="0" wrapText="1"/>
    </xf>
    <xf borderId="3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readingOrder="0" shrinkToFit="0" textRotation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textRotation="90" vertical="center" wrapText="1"/>
    </xf>
    <xf borderId="4" fillId="0" fontId="8" numFmtId="0" xfId="0" applyAlignment="1" applyBorder="1" applyFont="1">
      <alignment horizontal="center" shrinkToFit="0" textRotation="90" vertical="bottom" wrapText="1"/>
    </xf>
    <xf borderId="4" fillId="0" fontId="8" numFmtId="0" xfId="0" applyAlignment="1" applyBorder="1" applyFont="1">
      <alignment horizontal="center" shrinkToFit="0" vertical="bottom" wrapText="1"/>
    </xf>
    <xf borderId="4" fillId="0" fontId="10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center" shrinkToFit="0" textRotation="180" vertical="center" wrapText="1"/>
    </xf>
    <xf borderId="4" fillId="0" fontId="10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90" vertical="center" wrapText="1"/>
    </xf>
    <xf borderId="5" fillId="3" fontId="9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right" shrinkToFit="0" textRotation="90" vertical="center" wrapText="1"/>
    </xf>
    <xf borderId="4" fillId="0" fontId="8" numFmtId="0" xfId="0" applyAlignment="1" applyBorder="1" applyFont="1">
      <alignment horizontal="left" shrinkToFit="0" textRotation="180" vertical="center" wrapText="1"/>
    </xf>
    <xf borderId="5" fillId="3" fontId="9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180" vertical="center" wrapText="1"/>
    </xf>
    <xf borderId="6" fillId="0" fontId="7" numFmtId="0" xfId="0" applyAlignment="1" applyBorder="1" applyFont="1">
      <alignment shrinkToFit="0" wrapText="1"/>
    </xf>
    <xf borderId="4" fillId="2" fontId="11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shrinkToFit="0" textRotation="90" vertical="top" wrapText="1"/>
    </xf>
    <xf borderId="4" fillId="0" fontId="8" numFmtId="0" xfId="0" applyAlignment="1" applyBorder="1" applyFont="1">
      <alignment horizontal="center" shrinkToFit="0" vertical="top" wrapText="1"/>
    </xf>
    <xf borderId="1" fillId="3" fontId="9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9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Original-style">
      <tableStyleElement dxfId="1" type="firstRowStripe"/>
      <tableStyleElement dxfId="2" type="secondRowStripe"/>
    </tableStyle>
    <tableStyle count="2" pivot="0" name="Original-style 2">
      <tableStyleElement dxfId="1" type="firstRowStripe"/>
      <tableStyleElement dxfId="2" type="secondRowStripe"/>
    </tableStyle>
    <tableStyle count="2" pivot="0" name="Original-style 3">
      <tableStyleElement dxfId="1" type="firstRowStripe"/>
      <tableStyleElement dxfId="2" type="secondRowStripe"/>
    </tableStyle>
    <tableStyle count="2" pivot="0" name="Base projeção-style">
      <tableStyleElement dxfId="1" type="firstRowStripe"/>
      <tableStyleElement dxfId="2" type="secondRowStripe"/>
    </tableStyle>
    <tableStyle count="2" pivot="0" name="Base projeção-style 2">
      <tableStyleElement dxfId="1" type="firstRowStripe"/>
      <tableStyleElement dxfId="2" type="secondRowStripe"/>
    </tableStyle>
    <tableStyle count="2" pivot="0" name="Base projeção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'Base projeção'!$C$45:$P$45</c:f>
            </c:strRef>
          </c:cat>
          <c:val>
            <c:numRef>
              <c:f>'Base projeção'!$C$46:$P$46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'Base projeção'!$C$45:$P$45</c:f>
            </c:strRef>
          </c:cat>
          <c:val>
            <c:numRef>
              <c:f>'Base projeção'!$C$47:$P$47</c:f>
              <c:numCache/>
            </c:numRef>
          </c:val>
          <c:smooth val="0"/>
        </c:ser>
        <c:axId val="912469162"/>
        <c:axId val="568930447"/>
      </c:lineChart>
      <c:catAx>
        <c:axId val="9124691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68930447"/>
      </c:catAx>
      <c:valAx>
        <c:axId val="568930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124691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580102084"/>
        <c:axId val="467518145"/>
      </c:barChart>
      <c:catAx>
        <c:axId val="15801020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67518145"/>
      </c:catAx>
      <c:valAx>
        <c:axId val="4675181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801020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522130171"/>
        <c:axId val="839778697"/>
      </c:barChart>
      <c:catAx>
        <c:axId val="1522130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39778697"/>
      </c:catAx>
      <c:valAx>
        <c:axId val="8397786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221301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845216018"/>
        <c:axId val="1511821707"/>
      </c:barChart>
      <c:catAx>
        <c:axId val="8452160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11821707"/>
      </c:catAx>
      <c:valAx>
        <c:axId val="15118217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4521601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180975</xdr:colOff>
      <xdr:row>47</xdr:row>
      <xdr:rowOff>85725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36:P46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A3:P14" displayName="Table_3" name="Table_3" id="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Original-style" showColumnStripes="0" showFirstColumn="1" showLastColumn="1" showRowStripes="1"/>
</table>
</file>

<file path=xl/tables/table4.xml><?xml version="1.0" encoding="utf-8"?>
<table xmlns="http://schemas.openxmlformats.org/spreadsheetml/2006/main" headerRowCount="0" ref="B20:P27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Original-style 2" showColumnStripes="0" showFirstColumn="1" showLastColumn="1" showRowStripes="1"/>
</table>
</file>

<file path=xl/tables/table5.xml><?xml version="1.0" encoding="utf-8"?>
<table xmlns="http://schemas.openxmlformats.org/spreadsheetml/2006/main" headerRowCount="0" ref="B40:P46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Original-style 3" showColumnStripes="0" showFirstColumn="1" showLastColumn="1" showRowStripes="1"/>
</table>
</file>

<file path=xl/tables/table6.xml><?xml version="1.0" encoding="utf-8"?>
<table xmlns="http://schemas.openxmlformats.org/spreadsheetml/2006/main" headerRowCount="0" ref="A3:P14" displayName="Table_6" name="Table_6" id="6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Base projeção-style" showColumnStripes="0" showFirstColumn="1" showLastColumn="1" showRowStripes="1"/>
</table>
</file>

<file path=xl/tables/table7.xml><?xml version="1.0" encoding="utf-8"?>
<table xmlns="http://schemas.openxmlformats.org/spreadsheetml/2006/main" headerRowCount="0" ref="B20:P31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Base projeção-style 2" showColumnStripes="0" showFirstColumn="1" showLastColumn="1" showRowStripes="1"/>
</table>
</file>

<file path=xl/tables/table8.xml><?xml version="1.0" encoding="utf-8"?>
<table xmlns="http://schemas.openxmlformats.org/spreadsheetml/2006/main" headerRowCount="0" ref="B35:P39" displayName="Table_8" name="Table_8" id="8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Base projeção-style 3" showColumnStripes="0" showFirstColumn="1" showLastColumn="1" showRowStripes="1"/>
</table>
</file>

<file path=xl/tables/table9.xml><?xml version="1.0" encoding="utf-8"?>
<table xmlns="http://schemas.openxmlformats.org/spreadsheetml/2006/main" ref="A12:B20" displayName="Table_9" name="Table_9" id="9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43593.0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4" t="s">
        <v>6</v>
      </c>
      <c r="B5" s="6">
        <f>Dados!Q15</f>
        <v>1024</v>
      </c>
    </row>
    <row r="6">
      <c r="A6" s="4" t="s">
        <v>7</v>
      </c>
      <c r="B6" s="6">
        <f>MAX(Dados!C15:P15)</f>
        <v>117</v>
      </c>
    </row>
    <row r="7">
      <c r="A7" s="7" t="s">
        <v>8</v>
      </c>
      <c r="B7" s="8">
        <f>Dados!R20</f>
        <v>0.0625</v>
      </c>
    </row>
    <row r="8">
      <c r="A8" s="7" t="s">
        <v>9</v>
      </c>
      <c r="B8" s="8">
        <f>Dados!R21</f>
        <v>0.0224609375</v>
      </c>
    </row>
    <row r="9">
      <c r="A9" s="7" t="s">
        <v>10</v>
      </c>
      <c r="B9" s="8">
        <f>Dados!R22</f>
        <v>0.1376953125</v>
      </c>
    </row>
    <row r="10">
      <c r="A10" s="7" t="s">
        <v>11</v>
      </c>
      <c r="B10" s="8">
        <f>Dados!R23</f>
        <v>0.0107421875</v>
      </c>
    </row>
    <row r="11">
      <c r="A11" s="7" t="s">
        <v>12</v>
      </c>
      <c r="B11" s="8">
        <f>Dados!R24</f>
        <v>0.0498046875</v>
      </c>
    </row>
    <row r="12">
      <c r="A12" s="7" t="s">
        <v>13</v>
      </c>
      <c r="B12" s="8">
        <f>Dados!R25</f>
        <v>0.0478515625</v>
      </c>
    </row>
    <row r="13">
      <c r="A13" s="7" t="s">
        <v>14</v>
      </c>
      <c r="B13" s="8">
        <f>Dados!R26</f>
        <v>0.1162109375</v>
      </c>
    </row>
    <row r="14">
      <c r="A14" s="7" t="s">
        <v>15</v>
      </c>
      <c r="B14" s="8">
        <f>Dados!R27</f>
        <v>0.05859375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9" t="s">
        <v>16</v>
      </c>
    </row>
    <row r="2" ht="12.0" customHeight="1">
      <c r="A2" s="10" t="s">
        <v>17</v>
      </c>
      <c r="B2" s="10" t="s">
        <v>18</v>
      </c>
      <c r="C2" s="11">
        <v>6.0</v>
      </c>
      <c r="D2" s="11">
        <v>7.0</v>
      </c>
      <c r="E2" s="11">
        <v>8.0</v>
      </c>
      <c r="F2" s="11">
        <v>9.0</v>
      </c>
      <c r="G2" s="11">
        <v>10.0</v>
      </c>
      <c r="H2" s="11">
        <v>11.0</v>
      </c>
      <c r="I2" s="11">
        <v>12.0</v>
      </c>
      <c r="J2" s="11">
        <v>13.0</v>
      </c>
      <c r="K2" s="11">
        <v>14.0</v>
      </c>
      <c r="L2" s="11">
        <v>15.0</v>
      </c>
      <c r="M2" s="11">
        <v>16.0</v>
      </c>
      <c r="N2" s="11">
        <v>17.0</v>
      </c>
      <c r="O2" s="11">
        <v>18.0</v>
      </c>
      <c r="P2" s="11">
        <v>19.0</v>
      </c>
      <c r="Q2" s="12" t="s">
        <v>19</v>
      </c>
      <c r="R2" s="13" t="s">
        <v>20</v>
      </c>
    </row>
    <row r="3" ht="14.25" customHeight="1">
      <c r="A3" s="14" t="s">
        <v>21</v>
      </c>
      <c r="B3" s="14" t="s">
        <v>22</v>
      </c>
      <c r="C3" s="15">
        <f>ROUND(IF(ISBLANK(Original!C3),'Base projeção'!C3*'Base projeção'!$A$16,Original!C3),0)</f>
        <v>0</v>
      </c>
      <c r="D3" s="15">
        <f>ROUND(IF(ISBLANK(Original!D3),'Base projeção'!D3*'Base projeção'!$A$16,Original!D3),0)</f>
        <v>4</v>
      </c>
      <c r="E3" s="15">
        <f>ROUND(IF(ISBLANK(Original!E3),'Base projeção'!E3*'Base projeção'!$A$16,Original!E3),0)</f>
        <v>1</v>
      </c>
      <c r="F3" s="15">
        <f>ROUND(IF(ISBLANK(Original!F3),'Base projeção'!F3*'Base projeção'!$A$16,Original!F3),0)</f>
        <v>0</v>
      </c>
      <c r="G3" s="15">
        <f>ROUND(IF(ISBLANK(Original!G3),'Base projeção'!G3*'Base projeção'!$A$16,Original!G3),0)</f>
        <v>2</v>
      </c>
      <c r="H3" s="15">
        <f>ROUND(IF(ISBLANK(Original!H3),'Base projeção'!H3*'Base projeção'!$A$16,Original!H3),0)</f>
        <v>4</v>
      </c>
      <c r="I3" s="15">
        <f>ROUND(IF(ISBLANK(Original!I3),'Base projeção'!I3*'Base projeção'!$A$16,Original!I3),0)</f>
        <v>1</v>
      </c>
      <c r="J3" s="15">
        <f>ROUND(IF(ISBLANK(Original!J3),'Base projeção'!J3*'Base projeção'!$A$16,Original!J3),0)</f>
        <v>0</v>
      </c>
      <c r="K3" s="15">
        <f>ROUND(IF(ISBLANK(Original!K3),'Base projeção'!K3*'Base projeção'!$A$16,Original!K3),0)</f>
        <v>2</v>
      </c>
      <c r="L3" s="15">
        <f>ROUND(IF(ISBLANK(Original!L3),'Base projeção'!L3*'Base projeção'!$A$16,Original!L3),0)</f>
        <v>0</v>
      </c>
      <c r="M3" s="15">
        <f>ROUND(IF(ISBLANK(Original!M3),'Base projeção'!M3*'Base projeção'!$A$16,Original!M3),0)</f>
        <v>0</v>
      </c>
      <c r="N3" s="15">
        <f>ROUND(IF(ISBLANK(Original!N3),'Base projeção'!N3*'Base projeção'!$A$16,Original!N3),0)</f>
        <v>0</v>
      </c>
      <c r="O3" s="15">
        <f>ROUND(IF(ISBLANK(Original!O3),'Base projeção'!O3*'Base projeção'!$A$16,Original!O3),0)</f>
        <v>1</v>
      </c>
      <c r="P3" s="15">
        <f>ROUND(IF(ISBLANK(Original!P3),'Base projeção'!P3*'Base projeção'!$A$16,Original!P3),0)</f>
        <v>0</v>
      </c>
      <c r="Q3" s="16">
        <f t="shared" ref="Q3:Q14" si="1">SUM(C3:P3)</f>
        <v>15</v>
      </c>
      <c r="R3" s="17">
        <f t="shared" ref="R3:R14" si="2">Q3/$Q$15</f>
        <v>0.0146484375</v>
      </c>
    </row>
    <row r="4" ht="14.25" customHeight="1">
      <c r="A4" s="14" t="s">
        <v>21</v>
      </c>
      <c r="B4" s="14" t="s">
        <v>23</v>
      </c>
      <c r="C4" s="15">
        <f>ROUND(IF(ISBLANK(Original!C4),'Base projeção'!C4*'Base projeção'!$A$16,Original!C4),0)</f>
        <v>1</v>
      </c>
      <c r="D4" s="15">
        <f>ROUND(IF(ISBLANK(Original!D4),'Base projeção'!D4*'Base projeção'!$A$16,Original!D4),0)</f>
        <v>2</v>
      </c>
      <c r="E4" s="15">
        <f>ROUND(IF(ISBLANK(Original!E4),'Base projeção'!E4*'Base projeção'!$A$16,Original!E4),0)</f>
        <v>5</v>
      </c>
      <c r="F4" s="15">
        <f>ROUND(IF(ISBLANK(Original!F4),'Base projeção'!F4*'Base projeção'!$A$16,Original!F4),0)</f>
        <v>0</v>
      </c>
      <c r="G4" s="15">
        <f>ROUND(IF(ISBLANK(Original!G4),'Base projeção'!G4*'Base projeção'!$A$16,Original!G4),0)</f>
        <v>2</v>
      </c>
      <c r="H4" s="15">
        <f>ROUND(IF(ISBLANK(Original!H4),'Base projeção'!H4*'Base projeção'!$A$16,Original!H4),0)</f>
        <v>2</v>
      </c>
      <c r="I4" s="15">
        <f>ROUND(IF(ISBLANK(Original!I4),'Base projeção'!I4*'Base projeção'!$A$16,Original!I4),0)</f>
        <v>2</v>
      </c>
      <c r="J4" s="15">
        <f>ROUND(IF(ISBLANK(Original!J4),'Base projeção'!J4*'Base projeção'!$A$16,Original!J4),0)</f>
        <v>0</v>
      </c>
      <c r="K4" s="15">
        <f>ROUND(IF(ISBLANK(Original!K4),'Base projeção'!K4*'Base projeção'!$A$16,Original!K4),0)</f>
        <v>1</v>
      </c>
      <c r="L4" s="15">
        <f>ROUND(IF(ISBLANK(Original!L4),'Base projeção'!L4*'Base projeção'!$A$16,Original!L4),0)</f>
        <v>2</v>
      </c>
      <c r="M4" s="15">
        <f>ROUND(IF(ISBLANK(Original!M4),'Base projeção'!M4*'Base projeção'!$A$16,Original!M4),0)</f>
        <v>0</v>
      </c>
      <c r="N4" s="15">
        <f>ROUND(IF(ISBLANK(Original!N4),'Base projeção'!N4*'Base projeção'!$A$16,Original!N4),0)</f>
        <v>2</v>
      </c>
      <c r="O4" s="15">
        <f>ROUND(IF(ISBLANK(Original!O4),'Base projeção'!O4*'Base projeção'!$A$16,Original!O4),0)</f>
        <v>0</v>
      </c>
      <c r="P4" s="15">
        <f>ROUND(IF(ISBLANK(Original!P4),'Base projeção'!P4*'Base projeção'!$A$16,Original!P4),0)</f>
        <v>0</v>
      </c>
      <c r="Q4" s="16">
        <f t="shared" si="1"/>
        <v>19</v>
      </c>
      <c r="R4" s="17">
        <f t="shared" si="2"/>
        <v>0.0185546875</v>
      </c>
    </row>
    <row r="5" ht="14.25" customHeight="1">
      <c r="A5" s="14" t="s">
        <v>21</v>
      </c>
      <c r="B5" s="14" t="s">
        <v>24</v>
      </c>
      <c r="C5" s="15">
        <f>ROUND(IF(ISBLANK(Original!C5),'Base projeção'!C5*'Base projeção'!$A$16,Original!C5),0)</f>
        <v>0</v>
      </c>
      <c r="D5" s="15">
        <f>ROUND(IF(ISBLANK(Original!D5),'Base projeção'!D5*'Base projeção'!$A$16,Original!D5),0)</f>
        <v>0</v>
      </c>
      <c r="E5" s="15">
        <f>ROUND(IF(ISBLANK(Original!E5),'Base projeção'!E5*'Base projeção'!$A$16,Original!E5),0)</f>
        <v>1</v>
      </c>
      <c r="F5" s="15">
        <f>ROUND(IF(ISBLANK(Original!F5),'Base projeção'!F5*'Base projeção'!$A$16,Original!F5),0)</f>
        <v>0</v>
      </c>
      <c r="G5" s="15">
        <f>ROUND(IF(ISBLANK(Original!G5),'Base projeção'!G5*'Base projeção'!$A$16,Original!G5),0)</f>
        <v>1</v>
      </c>
      <c r="H5" s="15">
        <f>ROUND(IF(ISBLANK(Original!H5),'Base projeção'!H5*'Base projeção'!$A$16,Original!H5),0)</f>
        <v>0</v>
      </c>
      <c r="I5" s="15">
        <f>ROUND(IF(ISBLANK(Original!I5),'Base projeção'!I5*'Base projeção'!$A$16,Original!I5),0)</f>
        <v>1</v>
      </c>
      <c r="J5" s="15">
        <f>ROUND(IF(ISBLANK(Original!J5),'Base projeção'!J5*'Base projeção'!$A$16,Original!J5),0)</f>
        <v>0</v>
      </c>
      <c r="K5" s="15">
        <f>ROUND(IF(ISBLANK(Original!K5),'Base projeção'!K5*'Base projeção'!$A$16,Original!K5),0)</f>
        <v>0</v>
      </c>
      <c r="L5" s="15">
        <f>ROUND(IF(ISBLANK(Original!L5),'Base projeção'!L5*'Base projeção'!$A$16,Original!L5),0)</f>
        <v>2</v>
      </c>
      <c r="M5" s="15">
        <f>ROUND(IF(ISBLANK(Original!M5),'Base projeção'!M5*'Base projeção'!$A$16,Original!M5),0)</f>
        <v>0</v>
      </c>
      <c r="N5" s="15">
        <f>ROUND(IF(ISBLANK(Original!N5),'Base projeção'!N5*'Base projeção'!$A$16,Original!N5),0)</f>
        <v>0</v>
      </c>
      <c r="O5" s="15">
        <f>ROUND(IF(ISBLANK(Original!O5),'Base projeção'!O5*'Base projeção'!$A$16,Original!O5),0)</f>
        <v>0</v>
      </c>
      <c r="P5" s="15">
        <f>ROUND(IF(ISBLANK(Original!P5),'Base projeção'!P5*'Base projeção'!$A$16,Original!P5),0)</f>
        <v>0</v>
      </c>
      <c r="Q5" s="16">
        <f t="shared" si="1"/>
        <v>5</v>
      </c>
      <c r="R5" s="17">
        <f t="shared" si="2"/>
        <v>0.0048828125</v>
      </c>
    </row>
    <row r="6" ht="14.25" customHeight="1">
      <c r="A6" s="14" t="s">
        <v>24</v>
      </c>
      <c r="B6" s="14" t="s">
        <v>21</v>
      </c>
      <c r="C6" s="15">
        <f>ROUND(IF(ISBLANK(Original!C6),'Base projeção'!C6*'Base projeção'!$A$16,Original!C6),0)</f>
        <v>0</v>
      </c>
      <c r="D6" s="15">
        <f>ROUND(IF(ISBLANK(Original!D6),'Base projeção'!D6*'Base projeção'!$A$16,Original!D6),0)</f>
        <v>0</v>
      </c>
      <c r="E6" s="15">
        <f>ROUND(IF(ISBLANK(Original!E6),'Base projeção'!E6*'Base projeção'!$A$16,Original!E6),0)</f>
        <v>4</v>
      </c>
      <c r="F6" s="15">
        <f>ROUND(IF(ISBLANK(Original!F6),'Base projeção'!F6*'Base projeção'!$A$16,Original!F6),0)</f>
        <v>2</v>
      </c>
      <c r="G6" s="15">
        <f>ROUND(IF(ISBLANK(Original!G6),'Base projeção'!G6*'Base projeção'!$A$16,Original!G6),0)</f>
        <v>1</v>
      </c>
      <c r="H6" s="15">
        <f>ROUND(IF(ISBLANK(Original!H6),'Base projeção'!H6*'Base projeção'!$A$16,Original!H6),0)</f>
        <v>2</v>
      </c>
      <c r="I6" s="15">
        <f>ROUND(IF(ISBLANK(Original!I6),'Base projeção'!I6*'Base projeção'!$A$16,Original!I6),0)</f>
        <v>8</v>
      </c>
      <c r="J6" s="15">
        <f>ROUND(IF(ISBLANK(Original!J6),'Base projeção'!J6*'Base projeção'!$A$16,Original!J6),0)</f>
        <v>0</v>
      </c>
      <c r="K6" s="15">
        <f>ROUND(IF(ISBLANK(Original!K6),'Base projeção'!K6*'Base projeção'!$A$16,Original!K6),0)</f>
        <v>1</v>
      </c>
      <c r="L6" s="15">
        <f>ROUND(IF(ISBLANK(Original!L6),'Base projeção'!L6*'Base projeção'!$A$16,Original!L6),0)</f>
        <v>0</v>
      </c>
      <c r="M6" s="15">
        <f>ROUND(IF(ISBLANK(Original!M6),'Base projeção'!M6*'Base projeção'!$A$16,Original!M6),0)</f>
        <v>2</v>
      </c>
      <c r="N6" s="15">
        <f>ROUND(IF(ISBLANK(Original!N6),'Base projeção'!N6*'Base projeção'!$A$16,Original!N6),0)</f>
        <v>3</v>
      </c>
      <c r="O6" s="15">
        <f>ROUND(IF(ISBLANK(Original!O6),'Base projeção'!O6*'Base projeção'!$A$16,Original!O6),0)</f>
        <v>2</v>
      </c>
      <c r="P6" s="15">
        <f>ROUND(IF(ISBLANK(Original!P6),'Base projeção'!P6*'Base projeção'!$A$16,Original!P6),0)</f>
        <v>2</v>
      </c>
      <c r="Q6" s="16">
        <f t="shared" si="1"/>
        <v>27</v>
      </c>
      <c r="R6" s="17">
        <f t="shared" si="2"/>
        <v>0.0263671875</v>
      </c>
    </row>
    <row r="7" ht="14.25" customHeight="1">
      <c r="A7" s="14" t="s">
        <v>24</v>
      </c>
      <c r="B7" s="14" t="s">
        <v>22</v>
      </c>
      <c r="C7" s="15">
        <f>ROUND(IF(ISBLANK(Original!C7),'Base projeção'!C7*'Base projeção'!$A$16,Original!C7),0)</f>
        <v>22</v>
      </c>
      <c r="D7" s="15">
        <f>ROUND(IF(ISBLANK(Original!D7),'Base projeção'!D7*'Base projeção'!$A$16,Original!D7),0)</f>
        <v>32</v>
      </c>
      <c r="E7" s="15">
        <f>ROUND(IF(ISBLANK(Original!E7),'Base projeção'!E7*'Base projeção'!$A$16,Original!E7),0)</f>
        <v>18</v>
      </c>
      <c r="F7" s="15">
        <f>ROUND(IF(ISBLANK(Original!F7),'Base projeção'!F7*'Base projeção'!$A$16,Original!F7),0)</f>
        <v>13</v>
      </c>
      <c r="G7" s="15">
        <f>ROUND(IF(ISBLANK(Original!G7),'Base projeção'!G7*'Base projeção'!$A$16,Original!G7),0)</f>
        <v>12</v>
      </c>
      <c r="H7" s="15">
        <f>ROUND(IF(ISBLANK(Original!H7),'Base projeção'!H7*'Base projeção'!$A$16,Original!H7),0)</f>
        <v>6</v>
      </c>
      <c r="I7" s="15">
        <f>ROUND(IF(ISBLANK(Original!I7),'Base projeção'!I7*'Base projeção'!$A$16,Original!I7),0)</f>
        <v>2</v>
      </c>
      <c r="J7" s="15">
        <f>ROUND(IF(ISBLANK(Original!J7),'Base projeção'!J7*'Base projeção'!$A$16,Original!J7),0)</f>
        <v>6</v>
      </c>
      <c r="K7" s="15">
        <f>ROUND(IF(ISBLANK(Original!K7),'Base projeção'!K7*'Base projeção'!$A$16,Original!K7),0)</f>
        <v>5</v>
      </c>
      <c r="L7" s="15">
        <f>ROUND(IF(ISBLANK(Original!L7),'Base projeção'!L7*'Base projeção'!$A$16,Original!L7),0)</f>
        <v>9</v>
      </c>
      <c r="M7" s="15">
        <f>ROUND(IF(ISBLANK(Original!M7),'Base projeção'!M7*'Base projeção'!$A$16,Original!M7),0)</f>
        <v>14</v>
      </c>
      <c r="N7" s="15">
        <f>ROUND(IF(ISBLANK(Original!N7),'Base projeção'!N7*'Base projeção'!$A$16,Original!N7),0)</f>
        <v>14</v>
      </c>
      <c r="O7" s="15">
        <f>ROUND(IF(ISBLANK(Original!O7),'Base projeção'!O7*'Base projeção'!$A$16,Original!O7),0)</f>
        <v>9</v>
      </c>
      <c r="P7" s="15">
        <f>ROUND(IF(ISBLANK(Original!P7),'Base projeção'!P7*'Base projeção'!$A$16,Original!P7),0)</f>
        <v>7</v>
      </c>
      <c r="Q7" s="16">
        <f t="shared" si="1"/>
        <v>169</v>
      </c>
      <c r="R7" s="17">
        <f t="shared" si="2"/>
        <v>0.1650390625</v>
      </c>
    </row>
    <row r="8" ht="14.25" customHeight="1">
      <c r="A8" s="14" t="s">
        <v>24</v>
      </c>
      <c r="B8" s="14" t="s">
        <v>23</v>
      </c>
      <c r="C8" s="15">
        <f>ROUND(IF(ISBLANK(Original!C8),'Base projeção'!C8*'Base projeção'!$A$16,Original!C8),0)</f>
        <v>0</v>
      </c>
      <c r="D8" s="15">
        <f>ROUND(IF(ISBLANK(Original!D8),'Base projeção'!D8*'Base projeção'!$A$16,Original!D8),0)</f>
        <v>5</v>
      </c>
      <c r="E8" s="15">
        <f>ROUND(IF(ISBLANK(Original!E8),'Base projeção'!E8*'Base projeção'!$A$16,Original!E8),0)</f>
        <v>5</v>
      </c>
      <c r="F8" s="15">
        <f>ROUND(IF(ISBLANK(Original!F8),'Base projeção'!F8*'Base projeção'!$A$16,Original!F8),0)</f>
        <v>2</v>
      </c>
      <c r="G8" s="15">
        <f>ROUND(IF(ISBLANK(Original!G8),'Base projeção'!G8*'Base projeção'!$A$16,Original!G8),0)</f>
        <v>1</v>
      </c>
      <c r="H8" s="15">
        <f>ROUND(IF(ISBLANK(Original!H8),'Base projeção'!H8*'Base projeção'!$A$16,Original!H8),0)</f>
        <v>5</v>
      </c>
      <c r="I8" s="15">
        <f>ROUND(IF(ISBLANK(Original!I8),'Base projeção'!I8*'Base projeção'!$A$16,Original!I8),0)</f>
        <v>4</v>
      </c>
      <c r="J8" s="15">
        <f>ROUND(IF(ISBLANK(Original!J8),'Base projeção'!J8*'Base projeção'!$A$16,Original!J8),0)</f>
        <v>4</v>
      </c>
      <c r="K8" s="15">
        <f>ROUND(IF(ISBLANK(Original!K8),'Base projeção'!K8*'Base projeção'!$A$16,Original!K8),0)</f>
        <v>2</v>
      </c>
      <c r="L8" s="15">
        <f>ROUND(IF(ISBLANK(Original!L8),'Base projeção'!L8*'Base projeção'!$A$16,Original!L8),0)</f>
        <v>5</v>
      </c>
      <c r="M8" s="15">
        <f>ROUND(IF(ISBLANK(Original!M8),'Base projeção'!M8*'Base projeção'!$A$16,Original!M8),0)</f>
        <v>1</v>
      </c>
      <c r="N8" s="15">
        <f>ROUND(IF(ISBLANK(Original!N8),'Base projeção'!N8*'Base projeção'!$A$16,Original!N8),0)</f>
        <v>2</v>
      </c>
      <c r="O8" s="15">
        <f>ROUND(IF(ISBLANK(Original!O8),'Base projeção'!O8*'Base projeção'!$A$16,Original!O8),0)</f>
        <v>3</v>
      </c>
      <c r="P8" s="15">
        <f>ROUND(IF(ISBLANK(Original!P8),'Base projeção'!P8*'Base projeção'!$A$16,Original!P8),0)</f>
        <v>1</v>
      </c>
      <c r="Q8" s="16">
        <f t="shared" si="1"/>
        <v>40</v>
      </c>
      <c r="R8" s="17">
        <f t="shared" si="2"/>
        <v>0.0390625</v>
      </c>
    </row>
    <row r="9" ht="14.25" customHeight="1">
      <c r="A9" s="14" t="s">
        <v>22</v>
      </c>
      <c r="B9" s="14" t="s">
        <v>23</v>
      </c>
      <c r="C9" s="15">
        <f>ROUND(IF(ISBLANK(Original!C9),'Base projeção'!C9*'Base projeção'!$A$16,Original!C9),0)</f>
        <v>0</v>
      </c>
      <c r="D9" s="15">
        <f>ROUND(IF(ISBLANK(Original!D9),'Base projeção'!D9*'Base projeção'!$A$16,Original!D9),0)</f>
        <v>1</v>
      </c>
      <c r="E9" s="15">
        <f>ROUND(IF(ISBLANK(Original!E9),'Base projeção'!E9*'Base projeção'!$A$16,Original!E9),0)</f>
        <v>2</v>
      </c>
      <c r="F9" s="15">
        <f>ROUND(IF(ISBLANK(Original!F9),'Base projeção'!F9*'Base projeção'!$A$16,Original!F9),0)</f>
        <v>4</v>
      </c>
      <c r="G9" s="15">
        <f>ROUND(IF(ISBLANK(Original!G9),'Base projeção'!G9*'Base projeção'!$A$16,Original!G9),0)</f>
        <v>0</v>
      </c>
      <c r="H9" s="15">
        <f>ROUND(IF(ISBLANK(Original!H9),'Base projeção'!H9*'Base projeção'!$A$16,Original!H9),0)</f>
        <v>2</v>
      </c>
      <c r="I9" s="15">
        <f>ROUND(IF(ISBLANK(Original!I9),'Base projeção'!I9*'Base projeção'!$A$16,Original!I9),0)</f>
        <v>28</v>
      </c>
      <c r="J9" s="15">
        <f>ROUND(IF(ISBLANK(Original!J9),'Base projeção'!J9*'Base projeção'!$A$16,Original!J9),0)</f>
        <v>0</v>
      </c>
      <c r="K9" s="15">
        <f>ROUND(IF(ISBLANK(Original!K9),'Base projeção'!K9*'Base projeção'!$A$16,Original!K9),0)</f>
        <v>2</v>
      </c>
      <c r="L9" s="15">
        <f>ROUND(IF(ISBLANK(Original!L9),'Base projeção'!L9*'Base projeção'!$A$16,Original!L9),0)</f>
        <v>2</v>
      </c>
      <c r="M9" s="15">
        <f>ROUND(IF(ISBLANK(Original!M9),'Base projeção'!M9*'Base projeção'!$A$16,Original!M9),0)</f>
        <v>0</v>
      </c>
      <c r="N9" s="15">
        <f>ROUND(IF(ISBLANK(Original!N9),'Base projeção'!N9*'Base projeção'!$A$16,Original!N9),0)</f>
        <v>4</v>
      </c>
      <c r="O9" s="15">
        <f>ROUND(IF(ISBLANK(Original!O9),'Base projeção'!O9*'Base projeção'!$A$16,Original!O9),0)</f>
        <v>0</v>
      </c>
      <c r="P9" s="15">
        <f>ROUND(IF(ISBLANK(Original!P9),'Base projeção'!P9*'Base projeção'!$A$16,Original!P9),0)</f>
        <v>1</v>
      </c>
      <c r="Q9" s="16">
        <f t="shared" si="1"/>
        <v>46</v>
      </c>
      <c r="R9" s="17">
        <f t="shared" si="2"/>
        <v>0.044921875</v>
      </c>
    </row>
    <row r="10" ht="14.25" customHeight="1">
      <c r="A10" s="14" t="s">
        <v>22</v>
      </c>
      <c r="B10" s="14" t="s">
        <v>24</v>
      </c>
      <c r="C10" s="15">
        <f>ROUND(IF(ISBLANK(Original!C10),'Base projeção'!C10*'Base projeção'!$A$16,Original!C10),0)</f>
        <v>29</v>
      </c>
      <c r="D10" s="15">
        <f>ROUND(IF(ISBLANK(Original!D10),'Base projeção'!D10*'Base projeção'!$A$16,Original!D10),0)</f>
        <v>26</v>
      </c>
      <c r="E10" s="15">
        <f>ROUND(IF(ISBLANK(Original!E10),'Base projeção'!E10*'Base projeção'!$A$16,Original!E10),0)</f>
        <v>32</v>
      </c>
      <c r="F10" s="15">
        <f>ROUND(IF(ISBLANK(Original!F10),'Base projeção'!F10*'Base projeção'!$A$16,Original!F10),0)</f>
        <v>25</v>
      </c>
      <c r="G10" s="15">
        <f>ROUND(IF(ISBLANK(Original!G10),'Base projeção'!G10*'Base projeção'!$A$16,Original!G10),0)</f>
        <v>29</v>
      </c>
      <c r="H10" s="15">
        <f>ROUND(IF(ISBLANK(Original!H10),'Base projeção'!H10*'Base projeção'!$A$16,Original!H10),0)</f>
        <v>41</v>
      </c>
      <c r="I10" s="15">
        <f>ROUND(IF(ISBLANK(Original!I10),'Base projeção'!I10*'Base projeção'!$A$16,Original!I10),0)</f>
        <v>8</v>
      </c>
      <c r="J10" s="15">
        <f>ROUND(IF(ISBLANK(Original!J10),'Base projeção'!J10*'Base projeção'!$A$16,Original!J10),0)</f>
        <v>17</v>
      </c>
      <c r="K10" s="15">
        <f>ROUND(IF(ISBLANK(Original!K10),'Base projeção'!K10*'Base projeção'!$A$16,Original!K10),0)</f>
        <v>0</v>
      </c>
      <c r="L10" s="15">
        <f>ROUND(IF(ISBLANK(Original!L10),'Base projeção'!L10*'Base projeção'!$A$16,Original!L10),0)</f>
        <v>3</v>
      </c>
      <c r="M10" s="15">
        <f>ROUND(IF(ISBLANK(Original!M10),'Base projeção'!M10*'Base projeção'!$A$16,Original!M10),0)</f>
        <v>2</v>
      </c>
      <c r="N10" s="15">
        <f>ROUND(IF(ISBLANK(Original!N10),'Base projeção'!N10*'Base projeção'!$A$16,Original!N10),0)</f>
        <v>2</v>
      </c>
      <c r="O10" s="15">
        <f>ROUND(IF(ISBLANK(Original!O10),'Base projeção'!O10*'Base projeção'!$A$16,Original!O10),0)</f>
        <v>1</v>
      </c>
      <c r="P10" s="15">
        <f>ROUND(IF(ISBLANK(Original!P10),'Base projeção'!P10*'Base projeção'!$A$16,Original!P10),0)</f>
        <v>41</v>
      </c>
      <c r="Q10" s="16">
        <f t="shared" si="1"/>
        <v>256</v>
      </c>
      <c r="R10" s="17">
        <f t="shared" si="2"/>
        <v>0.25</v>
      </c>
    </row>
    <row r="11" ht="14.25" customHeight="1">
      <c r="A11" s="14" t="s">
        <v>22</v>
      </c>
      <c r="B11" s="14" t="s">
        <v>21</v>
      </c>
      <c r="C11" s="15">
        <f>ROUND(IF(ISBLANK(Original!C11),'Base projeção'!C11*'Base projeção'!$A$16,Original!C11),0)</f>
        <v>1</v>
      </c>
      <c r="D11" s="15">
        <f>ROUND(IF(ISBLANK(Original!D11),'Base projeção'!D11*'Base projeção'!$A$16,Original!D11),0)</f>
        <v>5</v>
      </c>
      <c r="E11" s="15">
        <f>ROUND(IF(ISBLANK(Original!E11),'Base projeção'!E11*'Base projeção'!$A$16,Original!E11),0)</f>
        <v>5</v>
      </c>
      <c r="F11" s="15">
        <f>ROUND(IF(ISBLANK(Original!F11),'Base projeção'!F11*'Base projeção'!$A$16,Original!F11),0)</f>
        <v>11</v>
      </c>
      <c r="G11" s="15">
        <f>ROUND(IF(ISBLANK(Original!G11),'Base projeção'!G11*'Base projeção'!$A$16,Original!G11),0)</f>
        <v>5</v>
      </c>
      <c r="H11" s="15">
        <f>ROUND(IF(ISBLANK(Original!H11),'Base projeção'!H11*'Base projeção'!$A$16,Original!H11),0)</f>
        <v>8</v>
      </c>
      <c r="I11" s="15">
        <f>ROUND(IF(ISBLANK(Original!I11),'Base projeção'!I11*'Base projeção'!$A$16,Original!I11),0)</f>
        <v>4</v>
      </c>
      <c r="J11" s="15">
        <f>ROUND(IF(ISBLANK(Original!J11),'Base projeção'!J11*'Base projeção'!$A$16,Original!J11),0)</f>
        <v>6</v>
      </c>
      <c r="K11" s="15">
        <f>ROUND(IF(ISBLANK(Original!K11),'Base projeção'!K11*'Base projeção'!$A$16,Original!K11),0)</f>
        <v>1</v>
      </c>
      <c r="L11" s="15">
        <f>ROUND(IF(ISBLANK(Original!L11),'Base projeção'!L11*'Base projeção'!$A$16,Original!L11),0)</f>
        <v>3</v>
      </c>
      <c r="M11" s="15">
        <f>ROUND(IF(ISBLANK(Original!M11),'Base projeção'!M11*'Base projeção'!$A$16,Original!M11),0)</f>
        <v>5</v>
      </c>
      <c r="N11" s="15">
        <f>ROUND(IF(ISBLANK(Original!N11),'Base projeção'!N11*'Base projeção'!$A$16,Original!N11),0)</f>
        <v>3</v>
      </c>
      <c r="O11" s="15">
        <f>ROUND(IF(ISBLANK(Original!O11),'Base projeção'!O11*'Base projeção'!$A$16,Original!O11),0)</f>
        <v>3</v>
      </c>
      <c r="P11" s="15">
        <f>ROUND(IF(ISBLANK(Original!P11),'Base projeção'!P11*'Base projeção'!$A$16,Original!P11),0)</f>
        <v>6</v>
      </c>
      <c r="Q11" s="16">
        <f t="shared" si="1"/>
        <v>66</v>
      </c>
      <c r="R11" s="17">
        <f t="shared" si="2"/>
        <v>0.064453125</v>
      </c>
    </row>
    <row r="12" ht="14.25" customHeight="1">
      <c r="A12" s="14" t="s">
        <v>23</v>
      </c>
      <c r="B12" s="14" t="s">
        <v>24</v>
      </c>
      <c r="C12" s="15">
        <f>ROUND(IF(ISBLANK(Original!C12),'Base projeção'!C12*'Base projeção'!$A$16,Original!C12),0)</f>
        <v>1</v>
      </c>
      <c r="D12" s="15">
        <f>ROUND(IF(ISBLANK(Original!D12),'Base projeção'!D12*'Base projeção'!$A$16,Original!D12),0)</f>
        <v>2</v>
      </c>
      <c r="E12" s="15">
        <f>ROUND(IF(ISBLANK(Original!E12),'Base projeção'!E12*'Base projeção'!$A$16,Original!E12),0)</f>
        <v>1</v>
      </c>
      <c r="F12" s="15">
        <f>ROUND(IF(ISBLANK(Original!F12),'Base projeção'!F12*'Base projeção'!$A$16,Original!F12),0)</f>
        <v>1</v>
      </c>
      <c r="G12" s="15">
        <f>ROUND(IF(ISBLANK(Original!G12),'Base projeção'!G12*'Base projeção'!$A$16,Original!G12),0)</f>
        <v>5</v>
      </c>
      <c r="H12" s="15">
        <f>ROUND(IF(ISBLANK(Original!H12),'Base projeção'!H12*'Base projeção'!$A$16,Original!H12),0)</f>
        <v>5</v>
      </c>
      <c r="I12" s="15">
        <f>ROUND(IF(ISBLANK(Original!I12),'Base projeção'!I12*'Base projeção'!$A$16,Original!I12),0)</f>
        <v>6</v>
      </c>
      <c r="J12" s="15">
        <f>ROUND(IF(ISBLANK(Original!J12),'Base projeção'!J12*'Base projeção'!$A$16,Original!J12),0)</f>
        <v>2</v>
      </c>
      <c r="K12" s="15">
        <f>ROUND(IF(ISBLANK(Original!K12),'Base projeção'!K12*'Base projeção'!$A$16,Original!K12),0)</f>
        <v>2</v>
      </c>
      <c r="L12" s="15">
        <f>ROUND(IF(ISBLANK(Original!L12),'Base projeção'!L12*'Base projeção'!$A$16,Original!L12),0)</f>
        <v>0</v>
      </c>
      <c r="M12" s="15">
        <f>ROUND(IF(ISBLANK(Original!M12),'Base projeção'!M12*'Base projeção'!$A$16,Original!M12),0)</f>
        <v>0</v>
      </c>
      <c r="N12" s="15">
        <f>ROUND(IF(ISBLANK(Original!N12),'Base projeção'!N12*'Base projeção'!$A$16,Original!N12),0)</f>
        <v>3</v>
      </c>
      <c r="O12" s="15">
        <f>ROUND(IF(ISBLANK(Original!O12),'Base projeção'!O12*'Base projeção'!$A$16,Original!O12),0)</f>
        <v>0</v>
      </c>
      <c r="P12" s="15">
        <f>ROUND(IF(ISBLANK(Original!P12),'Base projeção'!P12*'Base projeção'!$A$16,Original!P12),0)</f>
        <v>0</v>
      </c>
      <c r="Q12" s="16">
        <f t="shared" si="1"/>
        <v>28</v>
      </c>
      <c r="R12" s="17">
        <f t="shared" si="2"/>
        <v>0.02734375</v>
      </c>
    </row>
    <row r="13" ht="14.25" customHeight="1">
      <c r="A13" s="14" t="s">
        <v>23</v>
      </c>
      <c r="B13" s="14" t="s">
        <v>21</v>
      </c>
      <c r="C13" s="15">
        <f>ROUND(IF(ISBLANK(Original!C13),'Base projeção'!C13*'Base projeção'!$A$16,Original!C13),0)</f>
        <v>5</v>
      </c>
      <c r="D13" s="15">
        <f>ROUND(IF(ISBLANK(Original!D13),'Base projeção'!D13*'Base projeção'!$A$16,Original!D13),0)</f>
        <v>1</v>
      </c>
      <c r="E13" s="15">
        <f>ROUND(IF(ISBLANK(Original!E13),'Base projeção'!E13*'Base projeção'!$A$16,Original!E13),0)</f>
        <v>4</v>
      </c>
      <c r="F13" s="15">
        <f>ROUND(IF(ISBLANK(Original!F13),'Base projeção'!F13*'Base projeção'!$A$16,Original!F13),0)</f>
        <v>2</v>
      </c>
      <c r="G13" s="15">
        <f>ROUND(IF(ISBLANK(Original!G13),'Base projeção'!G13*'Base projeção'!$A$16,Original!G13),0)</f>
        <v>4</v>
      </c>
      <c r="H13" s="15">
        <f>ROUND(IF(ISBLANK(Original!H13),'Base projeção'!H13*'Base projeção'!$A$16,Original!H13),0)</f>
        <v>5</v>
      </c>
      <c r="I13" s="15">
        <f>ROUND(IF(ISBLANK(Original!I13),'Base projeção'!I13*'Base projeção'!$A$16,Original!I13),0)</f>
        <v>1</v>
      </c>
      <c r="J13" s="15">
        <f>ROUND(IF(ISBLANK(Original!J13),'Base projeção'!J13*'Base projeção'!$A$16,Original!J13),0)</f>
        <v>4</v>
      </c>
      <c r="K13" s="15">
        <f>ROUND(IF(ISBLANK(Original!K13),'Base projeção'!K13*'Base projeção'!$A$16,Original!K13),0)</f>
        <v>37</v>
      </c>
      <c r="L13" s="15">
        <f>ROUND(IF(ISBLANK(Original!L13),'Base projeção'!L13*'Base projeção'!$A$16,Original!L13),0)</f>
        <v>34</v>
      </c>
      <c r="M13" s="15">
        <f>ROUND(IF(ISBLANK(Original!M13),'Base projeção'!M13*'Base projeção'!$A$16,Original!M13),0)</f>
        <v>67</v>
      </c>
      <c r="N13" s="15">
        <f>ROUND(IF(ISBLANK(Original!N13),'Base projeção'!N13*'Base projeção'!$A$16,Original!N13),0)</f>
        <v>75</v>
      </c>
      <c r="O13" s="15">
        <f>ROUND(IF(ISBLANK(Original!O13),'Base projeção'!O13*'Base projeção'!$A$16,Original!O13),0)</f>
        <v>66</v>
      </c>
      <c r="P13" s="15">
        <f>ROUND(IF(ISBLANK(Original!P13),'Base projeção'!P13*'Base projeção'!$A$16,Original!P13),0)</f>
        <v>2</v>
      </c>
      <c r="Q13" s="16">
        <f t="shared" si="1"/>
        <v>307</v>
      </c>
      <c r="R13" s="17">
        <f t="shared" si="2"/>
        <v>0.2998046875</v>
      </c>
    </row>
    <row r="14" ht="14.25" customHeight="1">
      <c r="A14" s="14" t="s">
        <v>23</v>
      </c>
      <c r="B14" s="14" t="s">
        <v>22</v>
      </c>
      <c r="C14" s="15">
        <f>ROUND(IF(ISBLANK(Original!C14),'Base projeção'!C14*'Base projeção'!$A$16,Original!C14),0)</f>
        <v>0</v>
      </c>
      <c r="D14" s="15">
        <f>ROUND(IF(ISBLANK(Original!D14),'Base projeção'!D14*'Base projeção'!$A$16,Original!D14),0)</f>
        <v>0</v>
      </c>
      <c r="E14" s="15">
        <f>ROUND(IF(ISBLANK(Original!E14),'Base projeção'!E14*'Base projeção'!$A$16,Original!E14),0)</f>
        <v>1</v>
      </c>
      <c r="F14" s="15">
        <f>ROUND(IF(ISBLANK(Original!F14),'Base projeção'!F14*'Base projeção'!$A$16,Original!F14),0)</f>
        <v>2</v>
      </c>
      <c r="G14" s="15">
        <f>ROUND(IF(ISBLANK(Original!G14),'Base projeção'!G14*'Base projeção'!$A$16,Original!G14),0)</f>
        <v>4</v>
      </c>
      <c r="H14" s="15">
        <f>ROUND(IF(ISBLANK(Original!H14),'Base projeção'!H14*'Base projeção'!$A$16,Original!H14),0)</f>
        <v>2</v>
      </c>
      <c r="I14" s="15">
        <f>ROUND(IF(ISBLANK(Original!I14),'Base projeção'!I14*'Base projeção'!$A$16,Original!I14),0)</f>
        <v>1</v>
      </c>
      <c r="J14" s="15">
        <f>ROUND(IF(ISBLANK(Original!J14),'Base projeção'!J14*'Base projeção'!$A$16,Original!J14),0)</f>
        <v>4</v>
      </c>
      <c r="K14" s="15">
        <f>ROUND(IF(ISBLANK(Original!K14),'Base projeção'!K14*'Base projeção'!$A$16,Original!K14),0)</f>
        <v>7</v>
      </c>
      <c r="L14" s="15">
        <f>ROUND(IF(ISBLANK(Original!L14),'Base projeção'!L14*'Base projeção'!$A$16,Original!L14),0)</f>
        <v>6</v>
      </c>
      <c r="M14" s="15">
        <f>ROUND(IF(ISBLANK(Original!M14),'Base projeção'!M14*'Base projeção'!$A$16,Original!M14),0)</f>
        <v>5</v>
      </c>
      <c r="N14" s="15">
        <f>ROUND(IF(ISBLANK(Original!N14),'Base projeção'!N14*'Base projeção'!$A$16,Original!N14),0)</f>
        <v>9</v>
      </c>
      <c r="O14" s="15">
        <f>ROUND(IF(ISBLANK(Original!O14),'Base projeção'!O14*'Base projeção'!$A$16,Original!O14),0)</f>
        <v>4</v>
      </c>
      <c r="P14" s="15">
        <f>ROUND(IF(ISBLANK(Original!P14),'Base projeção'!P14*'Base projeção'!$A$16,Original!P14),0)</f>
        <v>1</v>
      </c>
      <c r="Q14" s="16">
        <f t="shared" si="1"/>
        <v>46</v>
      </c>
      <c r="R14" s="17">
        <f t="shared" si="2"/>
        <v>0.044921875</v>
      </c>
    </row>
    <row r="15" ht="14.25" customHeight="1">
      <c r="A15" s="18"/>
      <c r="B15" s="18" t="s">
        <v>19</v>
      </c>
      <c r="C15" s="16">
        <f t="shared" ref="C15:Q15" si="3">SUM(C$3:C$14)</f>
        <v>59</v>
      </c>
      <c r="D15" s="16">
        <f t="shared" si="3"/>
        <v>78</v>
      </c>
      <c r="E15" s="16">
        <f t="shared" si="3"/>
        <v>79</v>
      </c>
      <c r="F15" s="16">
        <f t="shared" si="3"/>
        <v>62</v>
      </c>
      <c r="G15" s="16">
        <f t="shared" si="3"/>
        <v>66</v>
      </c>
      <c r="H15" s="16">
        <f t="shared" si="3"/>
        <v>82</v>
      </c>
      <c r="I15" s="16">
        <f t="shared" si="3"/>
        <v>66</v>
      </c>
      <c r="J15" s="16">
        <f t="shared" si="3"/>
        <v>43</v>
      </c>
      <c r="K15" s="16">
        <f t="shared" si="3"/>
        <v>60</v>
      </c>
      <c r="L15" s="16">
        <f t="shared" si="3"/>
        <v>66</v>
      </c>
      <c r="M15" s="16">
        <f t="shared" si="3"/>
        <v>96</v>
      </c>
      <c r="N15" s="16">
        <f t="shared" si="3"/>
        <v>117</v>
      </c>
      <c r="O15" s="16">
        <f t="shared" si="3"/>
        <v>89</v>
      </c>
      <c r="P15" s="16">
        <f t="shared" si="3"/>
        <v>61</v>
      </c>
      <c r="Q15" s="16">
        <f t="shared" si="3"/>
        <v>1024</v>
      </c>
      <c r="R15" s="17"/>
    </row>
    <row r="16" ht="13.5" customHeight="1">
      <c r="A16" s="19"/>
      <c r="B16" s="19" t="s">
        <v>25</v>
      </c>
      <c r="C16" s="20">
        <f t="shared" ref="C16:P16" si="4">C15/$Q$15</f>
        <v>0.0576171875</v>
      </c>
      <c r="D16" s="20">
        <f t="shared" si="4"/>
        <v>0.076171875</v>
      </c>
      <c r="E16" s="20">
        <f t="shared" si="4"/>
        <v>0.0771484375</v>
      </c>
      <c r="F16" s="20">
        <f t="shared" si="4"/>
        <v>0.060546875</v>
      </c>
      <c r="G16" s="20">
        <f t="shared" si="4"/>
        <v>0.064453125</v>
      </c>
      <c r="H16" s="20">
        <f t="shared" si="4"/>
        <v>0.080078125</v>
      </c>
      <c r="I16" s="20">
        <f t="shared" si="4"/>
        <v>0.064453125</v>
      </c>
      <c r="J16" s="20">
        <f t="shared" si="4"/>
        <v>0.0419921875</v>
      </c>
      <c r="K16" s="20">
        <f t="shared" si="4"/>
        <v>0.05859375</v>
      </c>
      <c r="L16" s="20">
        <f t="shared" si="4"/>
        <v>0.064453125</v>
      </c>
      <c r="M16" s="20">
        <f t="shared" si="4"/>
        <v>0.09375</v>
      </c>
      <c r="N16" s="20">
        <f t="shared" si="4"/>
        <v>0.1142578125</v>
      </c>
      <c r="O16" s="20">
        <f t="shared" si="4"/>
        <v>0.0869140625</v>
      </c>
      <c r="P16" s="20">
        <f t="shared" si="4"/>
        <v>0.0595703125</v>
      </c>
      <c r="Q16" s="20">
        <f>SUM(C16:P16)</f>
        <v>1</v>
      </c>
      <c r="R16" s="17"/>
    </row>
    <row r="17" ht="13.5" customHeight="1">
      <c r="A17" s="21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3"/>
    </row>
    <row r="18" ht="12.0" customHeight="1">
      <c r="A18" s="9" t="s">
        <v>26</v>
      </c>
    </row>
    <row r="19" ht="12.0" customHeight="1">
      <c r="A19" s="24"/>
      <c r="B19" s="10" t="s">
        <v>27</v>
      </c>
      <c r="C19" s="11">
        <v>6.0</v>
      </c>
      <c r="D19" s="11">
        <v>7.0</v>
      </c>
      <c r="E19" s="11">
        <v>8.0</v>
      </c>
      <c r="F19" s="11">
        <v>9.0</v>
      </c>
      <c r="G19" s="11">
        <v>10.0</v>
      </c>
      <c r="H19" s="11">
        <v>11.0</v>
      </c>
      <c r="I19" s="11">
        <v>12.0</v>
      </c>
      <c r="J19" s="11">
        <v>13.0</v>
      </c>
      <c r="K19" s="11">
        <v>14.0</v>
      </c>
      <c r="L19" s="11">
        <v>15.0</v>
      </c>
      <c r="M19" s="11">
        <v>16.0</v>
      </c>
      <c r="N19" s="11">
        <v>17.0</v>
      </c>
      <c r="O19" s="11">
        <v>18.0</v>
      </c>
      <c r="P19" s="11">
        <v>19.0</v>
      </c>
      <c r="Q19" s="12" t="s">
        <v>19</v>
      </c>
      <c r="R19" s="13" t="s">
        <v>20</v>
      </c>
    </row>
    <row r="20" ht="14.25" customHeight="1">
      <c r="A20" s="25"/>
      <c r="B20" s="26" t="s">
        <v>8</v>
      </c>
      <c r="C20" s="27">
        <f>ROUND(IF(ISBLANK(Original!C20),'Base projeção'!C20*'Base projeção'!$A$16,Original!C20),0)</f>
        <v>4</v>
      </c>
      <c r="D20" s="27">
        <f>ROUND(IF(ISBLANK(Original!D20),'Base projeção'!D20*'Base projeção'!$A$16,Original!D20),0)</f>
        <v>0</v>
      </c>
      <c r="E20" s="27">
        <f>ROUND(IF(ISBLANK(Original!E20),'Base projeção'!E20*'Base projeção'!$A$16,Original!E20),0)</f>
        <v>2</v>
      </c>
      <c r="F20" s="27">
        <f>ROUND(IF(ISBLANK(Original!F20),'Base projeção'!F20*'Base projeção'!$A$16,Original!F20),0)</f>
        <v>7</v>
      </c>
      <c r="G20" s="27">
        <f>ROUND(IF(ISBLANK(Original!G20),'Base projeção'!G20*'Base projeção'!$A$16,Original!G20),0)</f>
        <v>4</v>
      </c>
      <c r="H20" s="27">
        <f>ROUND(IF(ISBLANK(Original!H20),'Base projeção'!H20*'Base projeção'!$A$16,Original!H20),0)</f>
        <v>4</v>
      </c>
      <c r="I20" s="27">
        <f>ROUND(IF(ISBLANK(Original!I20),'Base projeção'!I20*'Base projeção'!$A$16,Original!I20),0)</f>
        <v>1</v>
      </c>
      <c r="J20" s="27">
        <f>ROUND(IF(ISBLANK(Original!J20),'Base projeção'!J20*'Base projeção'!$A$16,Original!J20),0)</f>
        <v>7</v>
      </c>
      <c r="K20" s="27">
        <f>ROUND(IF(ISBLANK(Original!K20),'Base projeção'!K20*'Base projeção'!$A$16,Original!K20),0)</f>
        <v>2</v>
      </c>
      <c r="L20" s="27">
        <f>ROUND(IF(ISBLANK(Original!L20),'Base projeção'!L20*'Base projeção'!$A$16,Original!L20),0)</f>
        <v>7</v>
      </c>
      <c r="M20" s="27">
        <f>ROUND(IF(ISBLANK(Original!M20),'Base projeção'!M20*'Base projeção'!$A$16,Original!M20),0)</f>
        <v>6</v>
      </c>
      <c r="N20" s="27">
        <f>ROUND(IF(ISBLANK(Original!N20),'Base projeção'!N20*'Base projeção'!$A$16,Original!N20),0)</f>
        <v>9</v>
      </c>
      <c r="O20" s="27">
        <f>ROUND(IF(ISBLANK(Original!O20),'Base projeção'!O20*'Base projeção'!$A$16,Original!O20),0)</f>
        <v>10</v>
      </c>
      <c r="P20" s="27">
        <f>ROUND(IF(ISBLANK(Original!P20),'Base projeção'!P20*'Base projeção'!$A$16,Original!P20),0)</f>
        <v>1</v>
      </c>
      <c r="Q20" s="12">
        <f t="shared" ref="Q20:Q27" si="5">SUM(C20:P20)</f>
        <v>64</v>
      </c>
      <c r="R20" s="13">
        <f t="shared" ref="R20:R27" si="6">Q20/$Q$15</f>
        <v>0.0625</v>
      </c>
    </row>
    <row r="21" ht="14.25" customHeight="1">
      <c r="A21" s="25"/>
      <c r="B21" s="28" t="s">
        <v>9</v>
      </c>
      <c r="C21" s="29">
        <f>ROUND(IF(ISBLANK(Original!C21),'Base projeção'!C21*'Base projeção'!$A$16,Original!C21),0)</f>
        <v>5</v>
      </c>
      <c r="D21" s="29">
        <f>ROUND(IF(ISBLANK(Original!D21),'Base projeção'!D21*'Base projeção'!$A$16,Original!D21),0)</f>
        <v>4</v>
      </c>
      <c r="E21" s="29">
        <f>ROUND(IF(ISBLANK(Original!E21),'Base projeção'!E21*'Base projeção'!$A$16,Original!E21),0)</f>
        <v>0</v>
      </c>
      <c r="F21" s="29">
        <f>ROUND(IF(ISBLANK(Original!F21),'Base projeção'!F21*'Base projeção'!$A$16,Original!F21),0)</f>
        <v>0</v>
      </c>
      <c r="G21" s="29">
        <f>ROUND(IF(ISBLANK(Original!G21),'Base projeção'!G21*'Base projeção'!$A$16,Original!G21),0)</f>
        <v>0</v>
      </c>
      <c r="H21" s="29">
        <f>ROUND(IF(ISBLANK(Original!H21),'Base projeção'!H21*'Base projeção'!$A$16,Original!H21),0)</f>
        <v>1</v>
      </c>
      <c r="I21" s="29">
        <f>ROUND(IF(ISBLANK(Original!I21),'Base projeção'!I21*'Base projeção'!$A$16,Original!I21),0)</f>
        <v>5</v>
      </c>
      <c r="J21" s="29">
        <f>ROUND(IF(ISBLANK(Original!J21),'Base projeção'!J21*'Base projeção'!$A$16,Original!J21),0)</f>
        <v>7</v>
      </c>
      <c r="K21" s="29">
        <f>ROUND(IF(ISBLANK(Original!K21),'Base projeção'!K21*'Base projeção'!$A$16,Original!K21),0)</f>
        <v>0</v>
      </c>
      <c r="L21" s="29">
        <f>ROUND(IF(ISBLANK(Original!L21),'Base projeção'!L21*'Base projeção'!$A$16,Original!L21),0)</f>
        <v>1</v>
      </c>
      <c r="M21" s="29">
        <f>ROUND(IF(ISBLANK(Original!M21),'Base projeção'!M21*'Base projeção'!$A$16,Original!M21),0)</f>
        <v>0</v>
      </c>
      <c r="N21" s="29">
        <f>ROUND(IF(ISBLANK(Original!N21),'Base projeção'!N21*'Base projeção'!$A$16,Original!N21),0)</f>
        <v>0</v>
      </c>
      <c r="O21" s="29">
        <f>ROUND(IF(ISBLANK(Original!O21),'Base projeção'!O21*'Base projeção'!$A$16,Original!O21),0)</f>
        <v>0</v>
      </c>
      <c r="P21" s="29">
        <f>ROUND(IF(ISBLANK(Original!P21),'Base projeção'!P21*'Base projeção'!$A$16,Original!P21),0)</f>
        <v>0</v>
      </c>
      <c r="Q21" s="12">
        <f t="shared" si="5"/>
        <v>23</v>
      </c>
      <c r="R21" s="13">
        <f t="shared" si="6"/>
        <v>0.0224609375</v>
      </c>
    </row>
    <row r="22" ht="14.25" customHeight="1">
      <c r="A22" s="25"/>
      <c r="B22" s="26" t="s">
        <v>10</v>
      </c>
      <c r="C22" s="27">
        <f>ROUND(IF(ISBLANK(Original!C22),'Base projeção'!C22*'Base projeção'!$A$16,Original!C22),0)</f>
        <v>11</v>
      </c>
      <c r="D22" s="27">
        <f>ROUND(IF(ISBLANK(Original!D22),'Base projeção'!D22*'Base projeção'!$A$16,Original!D22),0)</f>
        <v>5</v>
      </c>
      <c r="E22" s="27">
        <f>ROUND(IF(ISBLANK(Original!E22),'Base projeção'!E22*'Base projeção'!$A$16,Original!E22),0)</f>
        <v>8</v>
      </c>
      <c r="F22" s="27">
        <f>ROUND(IF(ISBLANK(Original!F22),'Base projeção'!F22*'Base projeção'!$A$16,Original!F22),0)</f>
        <v>11</v>
      </c>
      <c r="G22" s="27">
        <f>ROUND(IF(ISBLANK(Original!G22),'Base projeção'!G22*'Base projeção'!$A$16,Original!G22),0)</f>
        <v>10</v>
      </c>
      <c r="H22" s="27">
        <f>ROUND(IF(ISBLANK(Original!H22),'Base projeção'!H22*'Base projeção'!$A$16,Original!H22),0)</f>
        <v>8</v>
      </c>
      <c r="I22" s="27">
        <f>ROUND(IF(ISBLANK(Original!I22),'Base projeção'!I22*'Base projeção'!$A$16,Original!I22),0)</f>
        <v>8</v>
      </c>
      <c r="J22" s="27">
        <f>ROUND(IF(ISBLANK(Original!J22),'Base projeção'!J22*'Base projeção'!$A$16,Original!J22),0)</f>
        <v>6</v>
      </c>
      <c r="K22" s="27">
        <f>ROUND(IF(ISBLANK(Original!K22),'Base projeção'!K22*'Base projeção'!$A$16,Original!K22),0)</f>
        <v>3</v>
      </c>
      <c r="L22" s="27">
        <f>ROUND(IF(ISBLANK(Original!L22),'Base projeção'!L22*'Base projeção'!$A$16,Original!L22),0)</f>
        <v>4</v>
      </c>
      <c r="M22" s="27">
        <f>ROUND(IF(ISBLANK(Original!M22),'Base projeção'!M22*'Base projeção'!$A$16,Original!M22),0)</f>
        <v>11</v>
      </c>
      <c r="N22" s="27">
        <f>ROUND(IF(ISBLANK(Original!N22),'Base projeção'!N22*'Base projeção'!$A$16,Original!N22),0)</f>
        <v>19</v>
      </c>
      <c r="O22" s="27">
        <f>ROUND(IF(ISBLANK(Original!O22),'Base projeção'!O22*'Base projeção'!$A$16,Original!O22),0)</f>
        <v>19</v>
      </c>
      <c r="P22" s="27">
        <f>ROUND(IF(ISBLANK(Original!P22),'Base projeção'!P22*'Base projeção'!$A$16,Original!P22),0)</f>
        <v>18</v>
      </c>
      <c r="Q22" s="12">
        <f t="shared" si="5"/>
        <v>141</v>
      </c>
      <c r="R22" s="13">
        <f t="shared" si="6"/>
        <v>0.1376953125</v>
      </c>
    </row>
    <row r="23" ht="14.25" customHeight="1">
      <c r="A23" s="25"/>
      <c r="B23" s="30" t="s">
        <v>11</v>
      </c>
      <c r="C23" s="29">
        <f>ROUND(IF(ISBLANK(Original!C23),'Base projeção'!C23*'Base projeção'!$A$16,Original!C23),0)</f>
        <v>1</v>
      </c>
      <c r="D23" s="29">
        <f>ROUND(IF(ISBLANK(Original!D23),'Base projeção'!D23*'Base projeção'!$A$16,Original!D23),0)</f>
        <v>0</v>
      </c>
      <c r="E23" s="29">
        <f>ROUND(IF(ISBLANK(Original!E23),'Base projeção'!E23*'Base projeção'!$A$16,Original!E23),0)</f>
        <v>1</v>
      </c>
      <c r="F23" s="29">
        <f>ROUND(IF(ISBLANK(Original!F23),'Base projeção'!F23*'Base projeção'!$A$16,Original!F23),0)</f>
        <v>1</v>
      </c>
      <c r="G23" s="29">
        <f>ROUND(IF(ISBLANK(Original!G23),'Base projeção'!G23*'Base projeção'!$A$16,Original!G23),0)</f>
        <v>0</v>
      </c>
      <c r="H23" s="29">
        <f>ROUND(IF(ISBLANK(Original!H23),'Base projeção'!H23*'Base projeção'!$A$16,Original!H23),0)</f>
        <v>1</v>
      </c>
      <c r="I23" s="29">
        <f>ROUND(IF(ISBLANK(Original!I23),'Base projeção'!I23*'Base projeção'!$A$16,Original!I23),0)</f>
        <v>0</v>
      </c>
      <c r="J23" s="29">
        <f>ROUND(IF(ISBLANK(Original!J23),'Base projeção'!J23*'Base projeção'!$A$16,Original!J23),0)</f>
        <v>0</v>
      </c>
      <c r="K23" s="29">
        <f>ROUND(IF(ISBLANK(Original!K23),'Base projeção'!K23*'Base projeção'!$A$16,Original!K23),0)</f>
        <v>1</v>
      </c>
      <c r="L23" s="29">
        <f>ROUND(IF(ISBLANK(Original!L23),'Base projeção'!L23*'Base projeção'!$A$16,Original!L23),0)</f>
        <v>1</v>
      </c>
      <c r="M23" s="29">
        <f>ROUND(IF(ISBLANK(Original!M23),'Base projeção'!M23*'Base projeção'!$A$16,Original!M23),0)</f>
        <v>1</v>
      </c>
      <c r="N23" s="29">
        <f>ROUND(IF(ISBLANK(Original!N23),'Base projeção'!N23*'Base projeção'!$A$16,Original!N23),0)</f>
        <v>2</v>
      </c>
      <c r="O23" s="29">
        <f>ROUND(IF(ISBLANK(Original!O23),'Base projeção'!O23*'Base projeção'!$A$16,Original!O23),0)</f>
        <v>2</v>
      </c>
      <c r="P23" s="29">
        <f>ROUND(IF(ISBLANK(Original!P23),'Base projeção'!P23*'Base projeção'!$A$16,Original!P23),0)</f>
        <v>0</v>
      </c>
      <c r="Q23" s="12">
        <f t="shared" si="5"/>
        <v>11</v>
      </c>
      <c r="R23" s="13">
        <f t="shared" si="6"/>
        <v>0.0107421875</v>
      </c>
    </row>
    <row r="24" ht="14.25" customHeight="1">
      <c r="A24" s="25"/>
      <c r="B24" s="31" t="s">
        <v>12</v>
      </c>
      <c r="C24" s="27">
        <f>ROUND(IF(ISBLANK(Original!C24),'Base projeção'!C24*'Base projeção'!$A$16,Original!C24),0)</f>
        <v>1</v>
      </c>
      <c r="D24" s="27">
        <f>ROUND(IF(ISBLANK(Original!D24),'Base projeção'!D24*'Base projeção'!$A$16,Original!D24),0)</f>
        <v>0</v>
      </c>
      <c r="E24" s="27">
        <f>ROUND(IF(ISBLANK(Original!E24),'Base projeção'!E24*'Base projeção'!$A$16,Original!E24),0)</f>
        <v>2</v>
      </c>
      <c r="F24" s="27">
        <f>ROUND(IF(ISBLANK(Original!F24),'Base projeção'!F24*'Base projeção'!$A$16,Original!F24),0)</f>
        <v>0</v>
      </c>
      <c r="G24" s="27">
        <f>ROUND(IF(ISBLANK(Original!G24),'Base projeção'!G24*'Base projeção'!$A$16,Original!G24),0)</f>
        <v>1</v>
      </c>
      <c r="H24" s="27">
        <f>ROUND(IF(ISBLANK(Original!H24),'Base projeção'!H24*'Base projeção'!$A$16,Original!H24),0)</f>
        <v>0</v>
      </c>
      <c r="I24" s="27">
        <f>ROUND(IF(ISBLANK(Original!I24),'Base projeção'!I24*'Base projeção'!$A$16,Original!I24),0)</f>
        <v>0</v>
      </c>
      <c r="J24" s="27">
        <f>ROUND(IF(ISBLANK(Original!J24),'Base projeção'!J24*'Base projeção'!$A$16,Original!J24),0)</f>
        <v>0</v>
      </c>
      <c r="K24" s="27">
        <f>ROUND(IF(ISBLANK(Original!K24),'Base projeção'!K24*'Base projeção'!$A$16,Original!K24),0)</f>
        <v>5</v>
      </c>
      <c r="L24" s="27">
        <f>ROUND(IF(ISBLANK(Original!L24),'Base projeção'!L24*'Base projeção'!$A$16,Original!L24),0)</f>
        <v>13</v>
      </c>
      <c r="M24" s="27">
        <f>ROUND(IF(ISBLANK(Original!M24),'Base projeção'!M24*'Base projeção'!$A$16,Original!M24),0)</f>
        <v>10</v>
      </c>
      <c r="N24" s="27">
        <f>ROUND(IF(ISBLANK(Original!N24),'Base projeção'!N24*'Base projeção'!$A$16,Original!N24),0)</f>
        <v>12</v>
      </c>
      <c r="O24" s="27">
        <f>ROUND(IF(ISBLANK(Original!O24),'Base projeção'!O24*'Base projeção'!$A$16,Original!O24),0)</f>
        <v>7</v>
      </c>
      <c r="P24" s="27">
        <f>ROUND(IF(ISBLANK(Original!P24),'Base projeção'!P24*'Base projeção'!$A$16,Original!P24),0)</f>
        <v>0</v>
      </c>
      <c r="Q24" s="12">
        <f t="shared" si="5"/>
        <v>51</v>
      </c>
      <c r="R24" s="13">
        <f t="shared" si="6"/>
        <v>0.0498046875</v>
      </c>
    </row>
    <row r="25" ht="14.25" customHeight="1">
      <c r="A25" s="25"/>
      <c r="B25" s="30" t="s">
        <v>13</v>
      </c>
      <c r="C25" s="29">
        <f>ROUND(IF(ISBLANK(Original!C25),'Base projeção'!C25*'Base projeção'!$A$16,Original!C25),0)</f>
        <v>0</v>
      </c>
      <c r="D25" s="29">
        <f>ROUND(IF(ISBLANK(Original!D25),'Base projeção'!D25*'Base projeção'!$A$16,Original!D25),0)</f>
        <v>0</v>
      </c>
      <c r="E25" s="29">
        <f>ROUND(IF(ISBLANK(Original!E25),'Base projeção'!E25*'Base projeção'!$A$16,Original!E25),0)</f>
        <v>1</v>
      </c>
      <c r="F25" s="29">
        <f>ROUND(IF(ISBLANK(Original!F25),'Base projeção'!F25*'Base projeção'!$A$16,Original!F25),0)</f>
        <v>0</v>
      </c>
      <c r="G25" s="29">
        <f>ROUND(IF(ISBLANK(Original!G25),'Base projeção'!G25*'Base projeção'!$A$16,Original!G25),0)</f>
        <v>0</v>
      </c>
      <c r="H25" s="29">
        <f>ROUND(IF(ISBLANK(Original!H25),'Base projeção'!H25*'Base projeção'!$A$16,Original!H25),0)</f>
        <v>0</v>
      </c>
      <c r="I25" s="29">
        <f>ROUND(IF(ISBLANK(Original!I25),'Base projeção'!I25*'Base projeção'!$A$16,Original!I25),0)</f>
        <v>0</v>
      </c>
      <c r="J25" s="29">
        <f>ROUND(IF(ISBLANK(Original!J25),'Base projeção'!J25*'Base projeção'!$A$16,Original!J25),0)</f>
        <v>1</v>
      </c>
      <c r="K25" s="29">
        <f>ROUND(IF(ISBLANK(Original!K25),'Base projeção'!K25*'Base projeção'!$A$16,Original!K25),0)</f>
        <v>11</v>
      </c>
      <c r="L25" s="29">
        <f>ROUND(IF(ISBLANK(Original!L25),'Base projeção'!L25*'Base projeção'!$A$16,Original!L25),0)</f>
        <v>7</v>
      </c>
      <c r="M25" s="29">
        <f>ROUND(IF(ISBLANK(Original!M25),'Base projeção'!M25*'Base projeção'!$A$16,Original!M25),0)</f>
        <v>14</v>
      </c>
      <c r="N25" s="29">
        <f>ROUND(IF(ISBLANK(Original!N25),'Base projeção'!N25*'Base projeção'!$A$16,Original!N25),0)</f>
        <v>9</v>
      </c>
      <c r="O25" s="29">
        <f>ROUND(IF(ISBLANK(Original!O25),'Base projeção'!O25*'Base projeção'!$A$16,Original!O25),0)</f>
        <v>6</v>
      </c>
      <c r="P25" s="29">
        <f>ROUND(IF(ISBLANK(Original!P25),'Base projeção'!P25*'Base projeção'!$A$16,Original!P25),0)</f>
        <v>0</v>
      </c>
      <c r="Q25" s="12">
        <f t="shared" si="5"/>
        <v>49</v>
      </c>
      <c r="R25" s="13">
        <f t="shared" si="6"/>
        <v>0.0478515625</v>
      </c>
    </row>
    <row r="26" ht="14.25" customHeight="1">
      <c r="A26" s="25"/>
      <c r="B26" s="31" t="s">
        <v>14</v>
      </c>
      <c r="C26" s="27">
        <f>ROUND(IF(ISBLANK(Original!C26),'Base projeção'!C26*'Base projeção'!$A$16,Original!C26),0)</f>
        <v>2</v>
      </c>
      <c r="D26" s="27">
        <f>ROUND(IF(ISBLANK(Original!D26),'Base projeção'!D26*'Base projeção'!$A$16,Original!D26),0)</f>
        <v>4</v>
      </c>
      <c r="E26" s="27">
        <f>ROUND(IF(ISBLANK(Original!E26),'Base projeção'!E26*'Base projeção'!$A$16,Original!E26),0)</f>
        <v>8</v>
      </c>
      <c r="F26" s="27">
        <f>ROUND(IF(ISBLANK(Original!F26),'Base projeção'!F26*'Base projeção'!$A$16,Original!F26),0)</f>
        <v>7</v>
      </c>
      <c r="G26" s="27">
        <f>ROUND(IF(ISBLANK(Original!G26),'Base projeção'!G26*'Base projeção'!$A$16,Original!G26),0)</f>
        <v>6</v>
      </c>
      <c r="H26" s="27">
        <f>ROUND(IF(ISBLANK(Original!H26),'Base projeção'!H26*'Base projeção'!$A$16,Original!H26),0)</f>
        <v>17</v>
      </c>
      <c r="I26" s="27">
        <f>ROUND(IF(ISBLANK(Original!I26),'Base projeção'!I26*'Base projeção'!$A$16,Original!I26),0)</f>
        <v>16</v>
      </c>
      <c r="J26" s="27">
        <f>ROUND(IF(ISBLANK(Original!J26),'Base projeção'!J26*'Base projeção'!$A$16,Original!J26),0)</f>
        <v>4</v>
      </c>
      <c r="K26" s="27">
        <f>ROUND(IF(ISBLANK(Original!K26),'Base projeção'!K26*'Base projeção'!$A$16,Original!K26),0)</f>
        <v>9</v>
      </c>
      <c r="L26" s="27">
        <f>ROUND(IF(ISBLANK(Original!L26),'Base projeção'!L26*'Base projeção'!$A$16,Original!L26),0)</f>
        <v>16</v>
      </c>
      <c r="M26" s="27">
        <f>ROUND(IF(ISBLANK(Original!M26),'Base projeção'!M26*'Base projeção'!$A$16,Original!M26),0)</f>
        <v>10</v>
      </c>
      <c r="N26" s="27">
        <f>ROUND(IF(ISBLANK(Original!N26),'Base projeção'!N26*'Base projeção'!$A$16,Original!N26),0)</f>
        <v>12</v>
      </c>
      <c r="O26" s="27">
        <f>ROUND(IF(ISBLANK(Original!O26),'Base projeção'!O26*'Base projeção'!$A$16,Original!O26),0)</f>
        <v>6</v>
      </c>
      <c r="P26" s="27">
        <f>ROUND(IF(ISBLANK(Original!P26),'Base projeção'!P26*'Base projeção'!$A$16,Original!P26),0)</f>
        <v>2</v>
      </c>
      <c r="Q26" s="12">
        <f t="shared" si="5"/>
        <v>119</v>
      </c>
      <c r="R26" s="13">
        <f t="shared" si="6"/>
        <v>0.1162109375</v>
      </c>
    </row>
    <row r="27" ht="14.25" customHeight="1">
      <c r="A27" s="25"/>
      <c r="B27" s="28" t="s">
        <v>15</v>
      </c>
      <c r="C27" s="29">
        <f>ROUND(IF(ISBLANK(Original!C27),'Base projeção'!C27*'Base projeção'!$A$16,Original!C27),0)</f>
        <v>4</v>
      </c>
      <c r="D27" s="29">
        <f>ROUND(IF(ISBLANK(Original!D27),'Base projeção'!D27*'Base projeção'!$A$16,Original!D27),0)</f>
        <v>1</v>
      </c>
      <c r="E27" s="29">
        <f>ROUND(IF(ISBLANK(Original!E27),'Base projeção'!E27*'Base projeção'!$A$16,Original!E27),0)</f>
        <v>5</v>
      </c>
      <c r="F27" s="29">
        <f>ROUND(IF(ISBLANK(Original!F27),'Base projeção'!F27*'Base projeção'!$A$16,Original!F27),0)</f>
        <v>6</v>
      </c>
      <c r="G27" s="29">
        <f>ROUND(IF(ISBLANK(Original!G27),'Base projeção'!G27*'Base projeção'!$A$16,Original!G27),0)</f>
        <v>2</v>
      </c>
      <c r="H27" s="29">
        <f>ROUND(IF(ISBLANK(Original!H27),'Base projeção'!H27*'Base projeção'!$A$16,Original!H27),0)</f>
        <v>5</v>
      </c>
      <c r="I27" s="29">
        <f>ROUND(IF(ISBLANK(Original!I27),'Base projeção'!I27*'Base projeção'!$A$16,Original!I27),0)</f>
        <v>0</v>
      </c>
      <c r="J27" s="29">
        <f>ROUND(IF(ISBLANK(Original!J27),'Base projeção'!J27*'Base projeção'!$A$16,Original!J27),0)</f>
        <v>0</v>
      </c>
      <c r="K27" s="29">
        <f>ROUND(IF(ISBLANK(Original!K27),'Base projeção'!K27*'Base projeção'!$A$16,Original!K27),0)</f>
        <v>2</v>
      </c>
      <c r="L27" s="29">
        <f>ROUND(IF(ISBLANK(Original!L27),'Base projeção'!L27*'Base projeção'!$A$16,Original!L27),0)</f>
        <v>6</v>
      </c>
      <c r="M27" s="29">
        <f>ROUND(IF(ISBLANK(Original!M27),'Base projeção'!M27*'Base projeção'!$A$16,Original!M27),0)</f>
        <v>7</v>
      </c>
      <c r="N27" s="29">
        <f>ROUND(IF(ISBLANK(Original!N27),'Base projeção'!N27*'Base projeção'!$A$16,Original!N27),0)</f>
        <v>16</v>
      </c>
      <c r="O27" s="29">
        <f>ROUND(IF(ISBLANK(Original!O27),'Base projeção'!O27*'Base projeção'!$A$16,Original!O27),0)</f>
        <v>5</v>
      </c>
      <c r="P27" s="29">
        <f>ROUND(IF(ISBLANK(Original!P27),'Base projeção'!P27*'Base projeção'!$A$16,Original!P27),0)</f>
        <v>1</v>
      </c>
      <c r="Q27" s="12">
        <f t="shared" si="5"/>
        <v>60</v>
      </c>
      <c r="R27" s="13">
        <f t="shared" si="6"/>
        <v>0.05859375</v>
      </c>
    </row>
    <row r="28" ht="14.25" customHeight="1">
      <c r="A28" s="32"/>
      <c r="B28" s="33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5"/>
      <c r="R28" s="36"/>
    </row>
    <row r="29" ht="14.25" customHeight="1">
      <c r="A29" s="9" t="s">
        <v>28</v>
      </c>
    </row>
    <row r="30" ht="14.25" customHeight="1">
      <c r="A30" s="24"/>
      <c r="B30" s="10" t="s">
        <v>27</v>
      </c>
      <c r="C30" s="11">
        <v>6.0</v>
      </c>
      <c r="D30" s="11">
        <v>7.0</v>
      </c>
      <c r="E30" s="11">
        <v>8.0</v>
      </c>
      <c r="F30" s="11">
        <v>9.0</v>
      </c>
      <c r="G30" s="11">
        <v>10.0</v>
      </c>
      <c r="H30" s="11">
        <v>11.0</v>
      </c>
      <c r="I30" s="11">
        <v>12.0</v>
      </c>
      <c r="J30" s="11">
        <v>13.0</v>
      </c>
      <c r="K30" s="11">
        <v>14.0</v>
      </c>
      <c r="L30" s="11">
        <v>15.0</v>
      </c>
      <c r="M30" s="11">
        <v>16.0</v>
      </c>
      <c r="N30" s="11">
        <v>17.0</v>
      </c>
      <c r="O30" s="11">
        <v>18.0</v>
      </c>
      <c r="P30" s="11">
        <v>19.0</v>
      </c>
      <c r="Q30" s="12" t="s">
        <v>19</v>
      </c>
      <c r="R30" s="13" t="s">
        <v>20</v>
      </c>
    </row>
    <row r="31" ht="14.25" customHeight="1">
      <c r="A31" s="25"/>
      <c r="B31" s="28" t="s">
        <v>29</v>
      </c>
      <c r="C31" s="29">
        <f>ROUND(IF(ISBLANK(Original!C31),'Base projeção'!C31*'Base projeção'!$A$16,Original!C31),0)</f>
        <v>4</v>
      </c>
      <c r="D31" s="29">
        <f>ROUND(IF(ISBLANK(Original!D31),'Base projeção'!D31*'Base projeção'!$A$16,Original!D31),0)</f>
        <v>11</v>
      </c>
      <c r="E31" s="29">
        <f>ROUND(IF(ISBLANK(Original!E31),'Base projeção'!E31*'Base projeção'!$A$16,Original!E31),0)</f>
        <v>8</v>
      </c>
      <c r="F31" s="29">
        <f>ROUND(IF(ISBLANK(Original!F31),'Base projeção'!F31*'Base projeção'!$A$16,Original!F31),0)</f>
        <v>14</v>
      </c>
      <c r="G31" s="29">
        <f>ROUND(IF(ISBLANK(Original!G31),'Base projeção'!G31*'Base projeção'!$A$16,Original!G31),0)</f>
        <v>16</v>
      </c>
      <c r="H31" s="29">
        <f>ROUND(IF(ISBLANK(Original!H31),'Base projeção'!H31*'Base projeção'!$A$16,Original!H31),0)</f>
        <v>14</v>
      </c>
      <c r="I31" s="29">
        <f>ROUND(IF(ISBLANK(Original!I31),'Base projeção'!I31*'Base projeção'!$A$16,Original!I31),0)</f>
        <v>10</v>
      </c>
      <c r="J31" s="29">
        <f>ROUND(IF(ISBLANK(Original!J31),'Base projeção'!J31*'Base projeção'!$A$16,Original!J31),0)</f>
        <v>8</v>
      </c>
      <c r="K31" s="29">
        <f>ROUND(IF(ISBLANK(Original!K31),'Base projeção'!K31*'Base projeção'!$A$16,Original!K31),0)</f>
        <v>0</v>
      </c>
      <c r="L31" s="29">
        <f>ROUND(IF(ISBLANK(Original!L31),'Base projeção'!L31*'Base projeção'!$A$16,Original!L31),0)</f>
        <v>1</v>
      </c>
      <c r="M31" s="29">
        <f>ROUND(IF(ISBLANK(Original!M31),'Base projeção'!M31*'Base projeção'!$A$16,Original!M31),0)</f>
        <v>1</v>
      </c>
      <c r="N31" s="29">
        <f>ROUND(IF(ISBLANK(Original!N31),'Base projeção'!N31*'Base projeção'!$A$16,Original!N31),0)</f>
        <v>0</v>
      </c>
      <c r="O31" s="29">
        <f>ROUND(IF(ISBLANK(Original!O31),'Base projeção'!O31*'Base projeção'!$A$16,Original!O31),0)</f>
        <v>0</v>
      </c>
      <c r="P31" s="29">
        <f>ROUND(IF(ISBLANK(Original!P31),'Base projeção'!P31*'Base projeção'!$A$16,Original!P31),0)</f>
        <v>4</v>
      </c>
      <c r="Q31" s="12">
        <f t="shared" ref="Q31:Q46" si="7">SUM(C31:P31)</f>
        <v>91</v>
      </c>
      <c r="R31" s="13">
        <f t="shared" ref="R31:R46" si="8">Q31/$Q$15</f>
        <v>0.0888671875</v>
      </c>
    </row>
    <row r="32" ht="14.25" customHeight="1">
      <c r="A32" s="25"/>
      <c r="B32" s="26" t="s">
        <v>30</v>
      </c>
      <c r="C32" s="27">
        <f>ROUND(IF(ISBLANK(Original!C32),'Base projeção'!C32*'Base projeção'!$A$16,Original!C32),0)</f>
        <v>0</v>
      </c>
      <c r="D32" s="27">
        <f>ROUND(IF(ISBLANK(Original!D32),'Base projeção'!D32*'Base projeção'!$A$16,Original!D32),0)</f>
        <v>0</v>
      </c>
      <c r="E32" s="27">
        <f>ROUND(IF(ISBLANK(Original!E32),'Base projeção'!E32*'Base projeção'!$A$16,Original!E32),0)</f>
        <v>0</v>
      </c>
      <c r="F32" s="27">
        <f>ROUND(IF(ISBLANK(Original!F32),'Base projeção'!F32*'Base projeção'!$A$16,Original!F32),0)</f>
        <v>0</v>
      </c>
      <c r="G32" s="27">
        <f>ROUND(IF(ISBLANK(Original!G32),'Base projeção'!G32*'Base projeção'!$A$16,Original!G32),0)</f>
        <v>0</v>
      </c>
      <c r="H32" s="27">
        <f>ROUND(IF(ISBLANK(Original!H32),'Base projeção'!H32*'Base projeção'!$A$16,Original!H32),0)</f>
        <v>0</v>
      </c>
      <c r="I32" s="27">
        <f>ROUND(IF(ISBLANK(Original!I32),'Base projeção'!I32*'Base projeção'!$A$16,Original!I32),0)</f>
        <v>0</v>
      </c>
      <c r="J32" s="27">
        <f>ROUND(IF(ISBLANK(Original!J32),'Base projeção'!J32*'Base projeção'!$A$16,Original!J32),0)</f>
        <v>0</v>
      </c>
      <c r="K32" s="27">
        <f>ROUND(IF(ISBLANK(Original!K32),'Base projeção'!K32*'Base projeção'!$A$16,Original!K32),0)</f>
        <v>0</v>
      </c>
      <c r="L32" s="27">
        <f>ROUND(IF(ISBLANK(Original!L32),'Base projeção'!L32*'Base projeção'!$A$16,Original!L32),0)</f>
        <v>0</v>
      </c>
      <c r="M32" s="27">
        <f>ROUND(IF(ISBLANK(Original!M32),'Base projeção'!M32*'Base projeção'!$A$16,Original!M32),0)</f>
        <v>0</v>
      </c>
      <c r="N32" s="27">
        <f>ROUND(IF(ISBLANK(Original!N32),'Base projeção'!N32*'Base projeção'!$A$16,Original!N32),0)</f>
        <v>1</v>
      </c>
      <c r="O32" s="27">
        <f>ROUND(IF(ISBLANK(Original!O32),'Base projeção'!O32*'Base projeção'!$A$16,Original!O32),0)</f>
        <v>1</v>
      </c>
      <c r="P32" s="27">
        <f>ROUND(IF(ISBLANK(Original!P32),'Base projeção'!P32*'Base projeção'!$A$16,Original!P32),0)</f>
        <v>0</v>
      </c>
      <c r="Q32" s="12">
        <f t="shared" si="7"/>
        <v>2</v>
      </c>
      <c r="R32" s="13">
        <f t="shared" si="8"/>
        <v>0.001953125</v>
      </c>
    </row>
    <row r="33" ht="14.25" customHeight="1">
      <c r="A33" s="25"/>
      <c r="B33" s="28" t="s">
        <v>31</v>
      </c>
      <c r="C33" s="29">
        <f>ROUND(IF(ISBLANK(Original!C33),'Base projeção'!C33*'Base projeção'!$A$16,Original!C33),0)</f>
        <v>0</v>
      </c>
      <c r="D33" s="29">
        <f>ROUND(IF(ISBLANK(Original!D33),'Base projeção'!D33*'Base projeção'!$A$16,Original!D33),0)</f>
        <v>0</v>
      </c>
      <c r="E33" s="29">
        <f>ROUND(IF(ISBLANK(Original!E33),'Base projeção'!E33*'Base projeção'!$A$16,Original!E33),0)</f>
        <v>0</v>
      </c>
      <c r="F33" s="29">
        <f>ROUND(IF(ISBLANK(Original!F33),'Base projeção'!F33*'Base projeção'!$A$16,Original!F33),0)</f>
        <v>0</v>
      </c>
      <c r="G33" s="29">
        <f>ROUND(IF(ISBLANK(Original!G33),'Base projeção'!G33*'Base projeção'!$A$16,Original!G33),0)</f>
        <v>0</v>
      </c>
      <c r="H33" s="29">
        <f>ROUND(IF(ISBLANK(Original!H33),'Base projeção'!H33*'Base projeção'!$A$16,Original!H33),0)</f>
        <v>0</v>
      </c>
      <c r="I33" s="29">
        <f>ROUND(IF(ISBLANK(Original!I33),'Base projeção'!I33*'Base projeção'!$A$16,Original!I33),0)</f>
        <v>0</v>
      </c>
      <c r="J33" s="29">
        <f>ROUND(IF(ISBLANK(Original!J33),'Base projeção'!J33*'Base projeção'!$A$16,Original!J33),0)</f>
        <v>0</v>
      </c>
      <c r="K33" s="29">
        <f>ROUND(IF(ISBLANK(Original!K33),'Base projeção'!K33*'Base projeção'!$A$16,Original!K33),0)</f>
        <v>1</v>
      </c>
      <c r="L33" s="29">
        <f>ROUND(IF(ISBLANK(Original!L33),'Base projeção'!L33*'Base projeção'!$A$16,Original!L33),0)</f>
        <v>0</v>
      </c>
      <c r="M33" s="29">
        <f>ROUND(IF(ISBLANK(Original!M33),'Base projeção'!M33*'Base projeção'!$A$16,Original!M33),0)</f>
        <v>0</v>
      </c>
      <c r="N33" s="29">
        <f>ROUND(IF(ISBLANK(Original!N33),'Base projeção'!N33*'Base projeção'!$A$16,Original!N33),0)</f>
        <v>1</v>
      </c>
      <c r="O33" s="29">
        <f>ROUND(IF(ISBLANK(Original!O33),'Base projeção'!O33*'Base projeção'!$A$16,Original!O33),0)</f>
        <v>1</v>
      </c>
      <c r="P33" s="29">
        <f>ROUND(IF(ISBLANK(Original!P33),'Base projeção'!P33*'Base projeção'!$A$16,Original!P33),0)</f>
        <v>0</v>
      </c>
      <c r="Q33" s="12">
        <f t="shared" si="7"/>
        <v>3</v>
      </c>
      <c r="R33" s="13">
        <f t="shared" si="8"/>
        <v>0.0029296875</v>
      </c>
    </row>
    <row r="34" ht="14.25" customHeight="1">
      <c r="A34" s="25"/>
      <c r="B34" s="26" t="s">
        <v>32</v>
      </c>
      <c r="C34" s="27">
        <f>ROUND(IF(ISBLANK(Original!C34),'Base projeção'!C34*'Base projeção'!$A$16,Original!C34),0)</f>
        <v>7</v>
      </c>
      <c r="D34" s="27">
        <f>ROUND(IF(ISBLANK(Original!D34),'Base projeção'!D34*'Base projeção'!$A$16,Original!D34),0)</f>
        <v>8</v>
      </c>
      <c r="E34" s="27">
        <f>ROUND(IF(ISBLANK(Original!E34),'Base projeção'!E34*'Base projeção'!$A$16,Original!E34),0)</f>
        <v>10</v>
      </c>
      <c r="F34" s="27">
        <f>ROUND(IF(ISBLANK(Original!F34),'Base projeção'!F34*'Base projeção'!$A$16,Original!F34),0)</f>
        <v>11</v>
      </c>
      <c r="G34" s="27">
        <f>ROUND(IF(ISBLANK(Original!G34),'Base projeção'!G34*'Base projeção'!$A$16,Original!G34),0)</f>
        <v>12</v>
      </c>
      <c r="H34" s="27">
        <f>ROUND(IF(ISBLANK(Original!H34),'Base projeção'!H34*'Base projeção'!$A$16,Original!H34),0)</f>
        <v>13</v>
      </c>
      <c r="I34" s="27">
        <f>ROUND(IF(ISBLANK(Original!I34),'Base projeção'!I34*'Base projeção'!$A$16,Original!I34),0)</f>
        <v>14</v>
      </c>
      <c r="J34" s="27">
        <f>ROUND(IF(ISBLANK(Original!J34),'Base projeção'!J34*'Base projeção'!$A$16,Original!J34),0)</f>
        <v>16</v>
      </c>
      <c r="K34" s="27">
        <f>ROUND(IF(ISBLANK(Original!K34),'Base projeção'!K34*'Base projeção'!$A$16,Original!K34),0)</f>
        <v>5</v>
      </c>
      <c r="L34" s="27">
        <f>ROUND(IF(ISBLANK(Original!L34),'Base projeção'!L34*'Base projeção'!$A$16,Original!L34),0)</f>
        <v>8</v>
      </c>
      <c r="M34" s="27">
        <f>ROUND(IF(ISBLANK(Original!M34),'Base projeção'!M34*'Base projeção'!$A$16,Original!M34),0)</f>
        <v>8</v>
      </c>
      <c r="N34" s="27">
        <f>ROUND(IF(ISBLANK(Original!N34),'Base projeção'!N34*'Base projeção'!$A$16,Original!N34),0)</f>
        <v>4</v>
      </c>
      <c r="O34" s="27">
        <f>ROUND(IF(ISBLANK(Original!O34),'Base projeção'!O34*'Base projeção'!$A$16,Original!O34),0)</f>
        <v>2</v>
      </c>
      <c r="P34" s="27">
        <f>ROUND(IF(ISBLANK(Original!P34),'Base projeção'!P34*'Base projeção'!$A$16,Original!P34),0)</f>
        <v>23</v>
      </c>
      <c r="Q34" s="12">
        <f t="shared" si="7"/>
        <v>141</v>
      </c>
      <c r="R34" s="13">
        <f t="shared" si="8"/>
        <v>0.1376953125</v>
      </c>
    </row>
    <row r="35" ht="14.25" customHeight="1">
      <c r="A35" s="25"/>
      <c r="B35" s="37" t="s">
        <v>33</v>
      </c>
      <c r="C35" s="29">
        <f>ROUND(IF(ISBLANK(Original!C35),'Base projeção'!C35*'Base projeção'!$A$16,Original!C35),0)</f>
        <v>0</v>
      </c>
      <c r="D35" s="29">
        <f>ROUND(IF(ISBLANK(Original!D35),'Base projeção'!D35*'Base projeção'!$A$16,Original!D35),0)</f>
        <v>0</v>
      </c>
      <c r="E35" s="29">
        <f>ROUND(IF(ISBLANK(Original!E35),'Base projeção'!E35*'Base projeção'!$A$16,Original!E35),0)</f>
        <v>0</v>
      </c>
      <c r="F35" s="29">
        <f>ROUND(IF(ISBLANK(Original!F35),'Base projeção'!F35*'Base projeção'!$A$16,Original!F35),0)</f>
        <v>0</v>
      </c>
      <c r="G35" s="29">
        <f>ROUND(IF(ISBLANK(Original!G35),'Base projeção'!G35*'Base projeção'!$A$16,Original!G35),0)</f>
        <v>0</v>
      </c>
      <c r="H35" s="29">
        <f>ROUND(IF(ISBLANK(Original!H35),'Base projeção'!H35*'Base projeção'!$A$16,Original!H35),0)</f>
        <v>0</v>
      </c>
      <c r="I35" s="29">
        <f>ROUND(IF(ISBLANK(Original!I35),'Base projeção'!I35*'Base projeção'!$A$16,Original!I35),0)</f>
        <v>0</v>
      </c>
      <c r="J35" s="29">
        <f>ROUND(IF(ISBLANK(Original!J35),'Base projeção'!J35*'Base projeção'!$A$16,Original!J35),0)</f>
        <v>0</v>
      </c>
      <c r="K35" s="29">
        <f>ROUND(IF(ISBLANK(Original!K35),'Base projeção'!K35*'Base projeção'!$A$16,Original!K35),0)</f>
        <v>0</v>
      </c>
      <c r="L35" s="29">
        <f>ROUND(IF(ISBLANK(Original!L35),'Base projeção'!L35*'Base projeção'!$A$16,Original!L35),0)</f>
        <v>5</v>
      </c>
      <c r="M35" s="29">
        <f>ROUND(IF(ISBLANK(Original!M35),'Base projeção'!M35*'Base projeção'!$A$16,Original!M35),0)</f>
        <v>2</v>
      </c>
      <c r="N35" s="29">
        <f>ROUND(IF(ISBLANK(Original!N35),'Base projeção'!N35*'Base projeção'!$A$16,Original!N35),0)</f>
        <v>8</v>
      </c>
      <c r="O35" s="29">
        <f>ROUND(IF(ISBLANK(Original!O35),'Base projeção'!O35*'Base projeção'!$A$16,Original!O35),0)</f>
        <v>5</v>
      </c>
      <c r="P35" s="29">
        <f>ROUND(IF(ISBLANK(Original!P35),'Base projeção'!P35*'Base projeção'!$A$16,Original!P35),0)</f>
        <v>1</v>
      </c>
      <c r="Q35" s="12">
        <f t="shared" si="7"/>
        <v>21</v>
      </c>
      <c r="R35" s="13">
        <f t="shared" si="8"/>
        <v>0.0205078125</v>
      </c>
    </row>
    <row r="36" ht="14.25" customHeight="1">
      <c r="A36" s="25"/>
      <c r="B36" s="38" t="s">
        <v>13</v>
      </c>
      <c r="C36" s="15">
        <f>ROUND(IF(ISBLANK(Original!C36),'Base projeção'!C36*'Base projeção'!$A$16,Original!C36),0)</f>
        <v>0</v>
      </c>
      <c r="D36" s="15">
        <f>ROUND(IF(ISBLANK(Original!D36),'Base projeção'!D36*'Base projeção'!$A$16,Original!D36),0)</f>
        <v>0</v>
      </c>
      <c r="E36" s="15">
        <f>ROUND(IF(ISBLANK(Original!E36),'Base projeção'!E36*'Base projeção'!$A$16,Original!E36),0)</f>
        <v>0</v>
      </c>
      <c r="F36" s="15">
        <f>ROUND(IF(ISBLANK(Original!F36),'Base projeção'!F36*'Base projeção'!$A$16,Original!F36),0)</f>
        <v>0</v>
      </c>
      <c r="G36" s="15">
        <f>ROUND(IF(ISBLANK(Original!G36),'Base projeção'!G36*'Base projeção'!$A$16,Original!G36),0)</f>
        <v>0</v>
      </c>
      <c r="H36" s="15">
        <f>ROUND(IF(ISBLANK(Original!H36),'Base projeção'!H36*'Base projeção'!$A$16,Original!H36),0)</f>
        <v>0</v>
      </c>
      <c r="I36" s="15">
        <f>ROUND(IF(ISBLANK(Original!I36),'Base projeção'!I36*'Base projeção'!$A$16,Original!I36),0)</f>
        <v>0</v>
      </c>
      <c r="J36" s="15">
        <f>ROUND(IF(ISBLANK(Original!J36),'Base projeção'!J36*'Base projeção'!$A$16,Original!J36),0)</f>
        <v>0</v>
      </c>
      <c r="K36" s="15">
        <f>ROUND(IF(ISBLANK(Original!K36),'Base projeção'!K36*'Base projeção'!$A$16,Original!K36),0)</f>
        <v>2</v>
      </c>
      <c r="L36" s="15">
        <f>ROUND(IF(ISBLANK(Original!L36),'Base projeção'!L36*'Base projeção'!$A$16,Original!L36),0)</f>
        <v>7</v>
      </c>
      <c r="M36" s="15">
        <f>ROUND(IF(ISBLANK(Original!M36),'Base projeção'!M36*'Base projeção'!$A$16,Original!M36),0)</f>
        <v>8</v>
      </c>
      <c r="N36" s="15">
        <f>ROUND(IF(ISBLANK(Original!N36),'Base projeção'!N36*'Base projeção'!$A$16,Original!N36),0)</f>
        <v>0</v>
      </c>
      <c r="O36" s="15">
        <f>ROUND(IF(ISBLANK(Original!O36),'Base projeção'!O36*'Base projeção'!$A$16,Original!O36),0)</f>
        <v>1</v>
      </c>
      <c r="P36" s="15">
        <f>ROUND(IF(ISBLANK(Original!P36),'Base projeção'!P36*'Base projeção'!$A$16,Original!P36),0)</f>
        <v>0</v>
      </c>
      <c r="Q36" s="12">
        <f t="shared" si="7"/>
        <v>18</v>
      </c>
      <c r="R36" s="13">
        <f t="shared" si="8"/>
        <v>0.017578125</v>
      </c>
    </row>
    <row r="37" ht="14.25" customHeight="1">
      <c r="A37" s="25"/>
      <c r="B37" s="38" t="s">
        <v>34</v>
      </c>
      <c r="C37" s="15">
        <f>ROUND(IF(ISBLANK(Original!C37),'Base projeção'!C37*'Base projeção'!$A$16,Original!C37),0)</f>
        <v>0</v>
      </c>
      <c r="D37" s="15">
        <f>ROUND(IF(ISBLANK(Original!D37),'Base projeção'!D37*'Base projeção'!$A$16,Original!D37),0)</f>
        <v>1</v>
      </c>
      <c r="E37" s="15">
        <f>ROUND(IF(ISBLANK(Original!E37),'Base projeção'!E37*'Base projeção'!$A$16,Original!E37),0)</f>
        <v>0</v>
      </c>
      <c r="F37" s="15">
        <f>ROUND(IF(ISBLANK(Original!F37),'Base projeção'!F37*'Base projeção'!$A$16,Original!F37),0)</f>
        <v>0</v>
      </c>
      <c r="G37" s="15">
        <f>ROUND(IF(ISBLANK(Original!G37),'Base projeção'!G37*'Base projeção'!$A$16,Original!G37),0)</f>
        <v>0</v>
      </c>
      <c r="H37" s="15">
        <f>ROUND(IF(ISBLANK(Original!H37),'Base projeção'!H37*'Base projeção'!$A$16,Original!H37),0)</f>
        <v>1</v>
      </c>
      <c r="I37" s="15">
        <f>ROUND(IF(ISBLANK(Original!I37),'Base projeção'!I37*'Base projeção'!$A$16,Original!I37),0)</f>
        <v>0</v>
      </c>
      <c r="J37" s="15">
        <f>ROUND(IF(ISBLANK(Original!J37),'Base projeção'!J37*'Base projeção'!$A$16,Original!J37),0)</f>
        <v>0</v>
      </c>
      <c r="K37" s="15">
        <f>ROUND(IF(ISBLANK(Original!K37),'Base projeção'!K37*'Base projeção'!$A$16,Original!K37),0)</f>
        <v>9</v>
      </c>
      <c r="L37" s="15">
        <f>ROUND(IF(ISBLANK(Original!L37),'Base projeção'!L37*'Base projeção'!$A$16,Original!L37),0)</f>
        <v>0</v>
      </c>
      <c r="M37" s="15">
        <f>ROUND(IF(ISBLANK(Original!M37),'Base projeção'!M37*'Base projeção'!$A$16,Original!M37),0)</f>
        <v>6</v>
      </c>
      <c r="N37" s="15">
        <f>ROUND(IF(ISBLANK(Original!N37),'Base projeção'!N37*'Base projeção'!$A$16,Original!N37),0)</f>
        <v>9</v>
      </c>
      <c r="O37" s="15">
        <f>ROUND(IF(ISBLANK(Original!O37),'Base projeção'!O37*'Base projeção'!$A$16,Original!O37),0)</f>
        <v>5</v>
      </c>
      <c r="P37" s="15">
        <f>ROUND(IF(ISBLANK(Original!P37),'Base projeção'!P37*'Base projeção'!$A$16,Original!P37),0)</f>
        <v>0</v>
      </c>
      <c r="Q37" s="12">
        <f t="shared" si="7"/>
        <v>31</v>
      </c>
      <c r="R37" s="13">
        <f t="shared" si="8"/>
        <v>0.0302734375</v>
      </c>
    </row>
    <row r="38" ht="14.25" customHeight="1">
      <c r="A38" s="25"/>
      <c r="B38" s="38" t="s">
        <v>35</v>
      </c>
      <c r="C38" s="15">
        <f>ROUND(IF(ISBLANK(Original!C38),'Base projeção'!C38*'Base projeção'!$A$16,Original!C38),0)</f>
        <v>0</v>
      </c>
      <c r="D38" s="15">
        <f>ROUND(IF(ISBLANK(Original!D38),'Base projeção'!D38*'Base projeção'!$A$16,Original!D38),0)</f>
        <v>0</v>
      </c>
      <c r="E38" s="15">
        <f>ROUND(IF(ISBLANK(Original!E38),'Base projeção'!E38*'Base projeção'!$A$16,Original!E38),0)</f>
        <v>0</v>
      </c>
      <c r="F38" s="15">
        <f>ROUND(IF(ISBLANK(Original!F38),'Base projeção'!F38*'Base projeção'!$A$16,Original!F38),0)</f>
        <v>0</v>
      </c>
      <c r="G38" s="15">
        <f>ROUND(IF(ISBLANK(Original!G38),'Base projeção'!G38*'Base projeção'!$A$16,Original!G38),0)</f>
        <v>4</v>
      </c>
      <c r="H38" s="15">
        <f>ROUND(IF(ISBLANK(Original!H38),'Base projeção'!H38*'Base projeção'!$A$16,Original!H38),0)</f>
        <v>0</v>
      </c>
      <c r="I38" s="15">
        <f>ROUND(IF(ISBLANK(Original!I38),'Base projeção'!I38*'Base projeção'!$A$16,Original!I38),0)</f>
        <v>0</v>
      </c>
      <c r="J38" s="15">
        <f>ROUND(IF(ISBLANK(Original!J38),'Base projeção'!J38*'Base projeção'!$A$16,Original!J38),0)</f>
        <v>0</v>
      </c>
      <c r="K38" s="15">
        <f>ROUND(IF(ISBLANK(Original!K38),'Base projeção'!K38*'Base projeção'!$A$16,Original!K38),0)</f>
        <v>8</v>
      </c>
      <c r="L38" s="15">
        <f>ROUND(IF(ISBLANK(Original!L38),'Base projeção'!L38*'Base projeção'!$A$16,Original!L38),0)</f>
        <v>14</v>
      </c>
      <c r="M38" s="15">
        <f>ROUND(IF(ISBLANK(Original!M38),'Base projeção'!M38*'Base projeção'!$A$16,Original!M38),0)</f>
        <v>8</v>
      </c>
      <c r="N38" s="15">
        <f>ROUND(IF(ISBLANK(Original!N38),'Base projeção'!N38*'Base projeção'!$A$16,Original!N38),0)</f>
        <v>12</v>
      </c>
      <c r="O38" s="15">
        <f>ROUND(IF(ISBLANK(Original!O38),'Base projeção'!O38*'Base projeção'!$A$16,Original!O38),0)</f>
        <v>4</v>
      </c>
      <c r="P38" s="15">
        <f>ROUND(IF(ISBLANK(Original!P38),'Base projeção'!P38*'Base projeção'!$A$16,Original!P38),0)</f>
        <v>0</v>
      </c>
      <c r="Q38" s="12">
        <f t="shared" si="7"/>
        <v>50</v>
      </c>
      <c r="R38" s="13">
        <f t="shared" si="8"/>
        <v>0.048828125</v>
      </c>
    </row>
    <row r="39" ht="14.25" customHeight="1">
      <c r="A39" s="25"/>
      <c r="B39" s="38" t="s">
        <v>36</v>
      </c>
      <c r="C39" s="15">
        <f>ROUND(IF(ISBLANK(Original!C39),'Base projeção'!C39*'Base projeção'!$A$16,Original!C39),0)</f>
        <v>0</v>
      </c>
      <c r="D39" s="15">
        <f>ROUND(IF(ISBLANK(Original!D39),'Base projeção'!D39*'Base projeção'!$A$16,Original!D39),0)</f>
        <v>0</v>
      </c>
      <c r="E39" s="15">
        <f>ROUND(IF(ISBLANK(Original!E39),'Base projeção'!E39*'Base projeção'!$A$16,Original!E39),0)</f>
        <v>0</v>
      </c>
      <c r="F39" s="15">
        <f>ROUND(IF(ISBLANK(Original!F39),'Base projeção'!F39*'Base projeção'!$A$16,Original!F39),0)</f>
        <v>0</v>
      </c>
      <c r="G39" s="15">
        <f>ROUND(IF(ISBLANK(Original!G39),'Base projeção'!G39*'Base projeção'!$A$16,Original!G39),0)</f>
        <v>0</v>
      </c>
      <c r="H39" s="15">
        <f>ROUND(IF(ISBLANK(Original!H39),'Base projeção'!H39*'Base projeção'!$A$16,Original!H39),0)</f>
        <v>0</v>
      </c>
      <c r="I39" s="15">
        <f>ROUND(IF(ISBLANK(Original!I39),'Base projeção'!I39*'Base projeção'!$A$16,Original!I39),0)</f>
        <v>0</v>
      </c>
      <c r="J39" s="15">
        <f>ROUND(IF(ISBLANK(Original!J39),'Base projeção'!J39*'Base projeção'!$A$16,Original!J39),0)</f>
        <v>0</v>
      </c>
      <c r="K39" s="15">
        <f>ROUND(IF(ISBLANK(Original!K39),'Base projeção'!K39*'Base projeção'!$A$16,Original!K39),0)</f>
        <v>1</v>
      </c>
      <c r="L39" s="15">
        <f>ROUND(IF(ISBLANK(Original!L39),'Base projeção'!L39*'Base projeção'!$A$16,Original!L39),0)</f>
        <v>2</v>
      </c>
      <c r="M39" s="15">
        <f>ROUND(IF(ISBLANK(Original!M39),'Base projeção'!M39*'Base projeção'!$A$16,Original!M39),0)</f>
        <v>2</v>
      </c>
      <c r="N39" s="15">
        <f>ROUND(IF(ISBLANK(Original!N39),'Base projeção'!N39*'Base projeção'!$A$16,Original!N39),0)</f>
        <v>0</v>
      </c>
      <c r="O39" s="15">
        <f>ROUND(IF(ISBLANK(Original!O39),'Base projeção'!O39*'Base projeção'!$A$16,Original!O39),0)</f>
        <v>2</v>
      </c>
      <c r="P39" s="15">
        <f>ROUND(IF(ISBLANK(Original!P39),'Base projeção'!P39*'Base projeção'!$A$16,Original!P39),0)</f>
        <v>0</v>
      </c>
      <c r="Q39" s="12">
        <f t="shared" si="7"/>
        <v>7</v>
      </c>
      <c r="R39" s="13">
        <f t="shared" si="8"/>
        <v>0.0068359375</v>
      </c>
    </row>
    <row r="40" ht="14.25" customHeight="1">
      <c r="A40" s="25"/>
      <c r="B40" s="39" t="s">
        <v>37</v>
      </c>
      <c r="C40" s="15">
        <f>ROUND(IF(ISBLANK(Original!C40),'Base projeção'!C40*'Base projeção'!$A$16,Original!C40),0)</f>
        <v>0</v>
      </c>
      <c r="D40" s="15">
        <f>ROUND(IF(ISBLANK(Original!D40),'Base projeção'!D40*'Base projeção'!$A$16,Original!D40),0)</f>
        <v>0</v>
      </c>
      <c r="E40" s="15">
        <f>ROUND(IF(ISBLANK(Original!E40),'Base projeção'!E40*'Base projeção'!$A$16,Original!E40),0)</f>
        <v>0</v>
      </c>
      <c r="F40" s="15">
        <f>ROUND(IF(ISBLANK(Original!F40),'Base projeção'!F40*'Base projeção'!$A$16,Original!F40),0)</f>
        <v>0</v>
      </c>
      <c r="G40" s="15">
        <f>ROUND(IF(ISBLANK(Original!G40),'Base projeção'!G40*'Base projeção'!$A$16,Original!G40),0)</f>
        <v>0</v>
      </c>
      <c r="H40" s="15">
        <f>ROUND(IF(ISBLANK(Original!H40),'Base projeção'!H40*'Base projeção'!$A$16,Original!H40),0)</f>
        <v>0</v>
      </c>
      <c r="I40" s="15">
        <f>ROUND(IF(ISBLANK(Original!I40),'Base projeção'!I40*'Base projeção'!$A$16,Original!I40),0)</f>
        <v>0</v>
      </c>
      <c r="J40" s="15">
        <f>ROUND(IF(ISBLANK(Original!J40),'Base projeção'!J40*'Base projeção'!$A$16,Original!J40),0)</f>
        <v>0</v>
      </c>
      <c r="K40" s="15">
        <f>ROUND(IF(ISBLANK(Original!K40),'Base projeção'!K40*'Base projeção'!$A$16,Original!K40),0)</f>
        <v>1</v>
      </c>
      <c r="L40" s="15">
        <f>ROUND(IF(ISBLANK(Original!L40),'Base projeção'!L40*'Base projeção'!$A$16,Original!L40),0)</f>
        <v>5</v>
      </c>
      <c r="M40" s="15">
        <f>ROUND(IF(ISBLANK(Original!M40),'Base projeção'!M40*'Base projeção'!$A$16,Original!M40),0)</f>
        <v>0</v>
      </c>
      <c r="N40" s="15">
        <f>ROUND(IF(ISBLANK(Original!N40),'Base projeção'!N40*'Base projeção'!$A$16,Original!N40),0)</f>
        <v>4</v>
      </c>
      <c r="O40" s="15">
        <f>ROUND(IF(ISBLANK(Original!O40),'Base projeção'!O40*'Base projeção'!$A$16,Original!O40),0)</f>
        <v>10</v>
      </c>
      <c r="P40" s="15">
        <f>ROUND(IF(ISBLANK(Original!P40),'Base projeção'!P40*'Base projeção'!$A$16,Original!P40),0)</f>
        <v>0</v>
      </c>
      <c r="Q40" s="12">
        <f t="shared" si="7"/>
        <v>20</v>
      </c>
      <c r="R40" s="13">
        <f t="shared" si="8"/>
        <v>0.01953125</v>
      </c>
    </row>
    <row r="41" ht="14.25" customHeight="1">
      <c r="A41" s="25"/>
      <c r="B41" s="40" t="s">
        <v>38</v>
      </c>
      <c r="C41" s="15">
        <f>ROUND(IF(ISBLANK(Original!C41),'Base projeção'!C41*'Base projeção'!$A$16,Original!C41),0)</f>
        <v>0</v>
      </c>
      <c r="D41" s="15">
        <f>ROUND(IF(ISBLANK(Original!D41),'Base projeção'!D41*'Base projeção'!$A$16,Original!D41),0)</f>
        <v>0</v>
      </c>
      <c r="E41" s="15">
        <f>ROUND(IF(ISBLANK(Original!E41),'Base projeção'!E41*'Base projeção'!$A$16,Original!E41),0)</f>
        <v>0</v>
      </c>
      <c r="F41" s="15">
        <f>ROUND(IF(ISBLANK(Original!F41),'Base projeção'!F41*'Base projeção'!$A$16,Original!F41),0)</f>
        <v>0</v>
      </c>
      <c r="G41" s="15">
        <f>ROUND(IF(ISBLANK(Original!G41),'Base projeção'!G41*'Base projeção'!$A$16,Original!G41),0)</f>
        <v>0</v>
      </c>
      <c r="H41" s="15">
        <f>ROUND(IF(ISBLANK(Original!H41),'Base projeção'!H41*'Base projeção'!$A$16,Original!H41),0)</f>
        <v>0</v>
      </c>
      <c r="I41" s="15">
        <f>ROUND(IF(ISBLANK(Original!I41),'Base projeção'!I41*'Base projeção'!$A$16,Original!I41),0)</f>
        <v>0</v>
      </c>
      <c r="J41" s="15">
        <f>ROUND(IF(ISBLANK(Original!J41),'Base projeção'!J41*'Base projeção'!$A$16,Original!J41),0)</f>
        <v>0</v>
      </c>
      <c r="K41" s="15">
        <f>ROUND(IF(ISBLANK(Original!K41),'Base projeção'!K41*'Base projeção'!$A$16,Original!K41),0)</f>
        <v>0</v>
      </c>
      <c r="L41" s="15">
        <f>ROUND(IF(ISBLANK(Original!L41),'Base projeção'!L41*'Base projeção'!$A$16,Original!L41),0)</f>
        <v>0</v>
      </c>
      <c r="M41" s="15">
        <f>ROUND(IF(ISBLANK(Original!M41),'Base projeção'!M41*'Base projeção'!$A$16,Original!M41),0)</f>
        <v>0</v>
      </c>
      <c r="N41" s="15">
        <f>ROUND(IF(ISBLANK(Original!N41),'Base projeção'!N41*'Base projeção'!$A$16,Original!N41),0)</f>
        <v>0</v>
      </c>
      <c r="O41" s="15">
        <f>ROUND(IF(ISBLANK(Original!O41),'Base projeção'!O41*'Base projeção'!$A$16,Original!O41),0)</f>
        <v>0</v>
      </c>
      <c r="P41" s="15">
        <f>ROUND(IF(ISBLANK(Original!P41),'Base projeção'!P41*'Base projeção'!$A$16,Original!P41),0)</f>
        <v>0</v>
      </c>
      <c r="Q41" s="12">
        <f t="shared" si="7"/>
        <v>0</v>
      </c>
      <c r="R41" s="13">
        <f t="shared" si="8"/>
        <v>0</v>
      </c>
    </row>
    <row r="42" ht="14.25" customHeight="1">
      <c r="A42" s="25"/>
      <c r="B42" s="40" t="s">
        <v>39</v>
      </c>
      <c r="C42" s="15">
        <f>ROUND(IF(ISBLANK(Original!C42),'Base projeção'!C42*'Base projeção'!$A$16,Original!C42),0)</f>
        <v>0</v>
      </c>
      <c r="D42" s="15">
        <f>ROUND(IF(ISBLANK(Original!D42),'Base projeção'!D42*'Base projeção'!$A$16,Original!D42),0)</f>
        <v>0</v>
      </c>
      <c r="E42" s="15">
        <f>ROUND(IF(ISBLANK(Original!E42),'Base projeção'!E42*'Base projeção'!$A$16,Original!E42),0)</f>
        <v>0</v>
      </c>
      <c r="F42" s="15">
        <f>ROUND(IF(ISBLANK(Original!F42),'Base projeção'!F42*'Base projeção'!$A$16,Original!F42),0)</f>
        <v>0</v>
      </c>
      <c r="G42" s="15">
        <f>ROUND(IF(ISBLANK(Original!G42),'Base projeção'!G42*'Base projeção'!$A$16,Original!G42),0)</f>
        <v>0</v>
      </c>
      <c r="H42" s="15">
        <f>ROUND(IF(ISBLANK(Original!H42),'Base projeção'!H42*'Base projeção'!$A$16,Original!H42),0)</f>
        <v>0</v>
      </c>
      <c r="I42" s="15">
        <f>ROUND(IF(ISBLANK(Original!I42),'Base projeção'!I42*'Base projeção'!$A$16,Original!I42),0)</f>
        <v>0</v>
      </c>
      <c r="J42" s="15">
        <f>ROUND(IF(ISBLANK(Original!J42),'Base projeção'!J42*'Base projeção'!$A$16,Original!J42),0)</f>
        <v>0</v>
      </c>
      <c r="K42" s="15">
        <f>ROUND(IF(ISBLANK(Original!K42),'Base projeção'!K42*'Base projeção'!$A$16,Original!K42),0)</f>
        <v>0</v>
      </c>
      <c r="L42" s="15">
        <f>ROUND(IF(ISBLANK(Original!L42),'Base projeção'!L42*'Base projeção'!$A$16,Original!L42),0)</f>
        <v>0</v>
      </c>
      <c r="M42" s="15">
        <f>ROUND(IF(ISBLANK(Original!M42),'Base projeção'!M42*'Base projeção'!$A$16,Original!M42),0)</f>
        <v>0</v>
      </c>
      <c r="N42" s="15">
        <f>ROUND(IF(ISBLANK(Original!N42),'Base projeção'!N42*'Base projeção'!$A$16,Original!N42),0)</f>
        <v>0</v>
      </c>
      <c r="O42" s="15">
        <f>ROUND(IF(ISBLANK(Original!O42),'Base projeção'!O42*'Base projeção'!$A$16,Original!O42),0)</f>
        <v>0</v>
      </c>
      <c r="P42" s="15">
        <f>ROUND(IF(ISBLANK(Original!P42),'Base projeção'!P42*'Base projeção'!$A$16,Original!P42),0)</f>
        <v>0</v>
      </c>
      <c r="Q42" s="12">
        <f t="shared" si="7"/>
        <v>0</v>
      </c>
      <c r="R42" s="13">
        <f t="shared" si="8"/>
        <v>0</v>
      </c>
    </row>
    <row r="43" ht="14.25" customHeight="1">
      <c r="A43" s="25"/>
      <c r="B43" s="40" t="s">
        <v>40</v>
      </c>
      <c r="C43" s="15">
        <f>ROUND(IF(ISBLANK(Original!C43),'Base projeção'!C43*'Base projeção'!$A$16,Original!C43),0)</f>
        <v>0</v>
      </c>
      <c r="D43" s="15">
        <f>ROUND(IF(ISBLANK(Original!D43),'Base projeção'!D43*'Base projeção'!$A$16,Original!D43),0)</f>
        <v>0</v>
      </c>
      <c r="E43" s="15">
        <f>ROUND(IF(ISBLANK(Original!E43),'Base projeção'!E43*'Base projeção'!$A$16,Original!E43),0)</f>
        <v>0</v>
      </c>
      <c r="F43" s="15">
        <f>ROUND(IF(ISBLANK(Original!F43),'Base projeção'!F43*'Base projeção'!$A$16,Original!F43),0)</f>
        <v>0</v>
      </c>
      <c r="G43" s="15">
        <f>ROUND(IF(ISBLANK(Original!G43),'Base projeção'!G43*'Base projeção'!$A$16,Original!G43),0)</f>
        <v>0</v>
      </c>
      <c r="H43" s="15">
        <f>ROUND(IF(ISBLANK(Original!H43),'Base projeção'!H43*'Base projeção'!$A$16,Original!H43),0)</f>
        <v>0</v>
      </c>
      <c r="I43" s="15">
        <f>ROUND(IF(ISBLANK(Original!I43),'Base projeção'!I43*'Base projeção'!$A$16,Original!I43),0)</f>
        <v>0</v>
      </c>
      <c r="J43" s="15">
        <f>ROUND(IF(ISBLANK(Original!J43),'Base projeção'!J43*'Base projeção'!$A$16,Original!J43),0)</f>
        <v>0</v>
      </c>
      <c r="K43" s="15">
        <f>ROUND(IF(ISBLANK(Original!K43),'Base projeção'!K43*'Base projeção'!$A$16,Original!K43),0)</f>
        <v>0</v>
      </c>
      <c r="L43" s="15">
        <f>ROUND(IF(ISBLANK(Original!L43),'Base projeção'!L43*'Base projeção'!$A$16,Original!L43),0)</f>
        <v>0</v>
      </c>
      <c r="M43" s="15">
        <f>ROUND(IF(ISBLANK(Original!M43),'Base projeção'!M43*'Base projeção'!$A$16,Original!M43),0)</f>
        <v>0</v>
      </c>
      <c r="N43" s="15">
        <f>ROUND(IF(ISBLANK(Original!N43),'Base projeção'!N43*'Base projeção'!$A$16,Original!N43),0)</f>
        <v>0</v>
      </c>
      <c r="O43" s="15">
        <f>ROUND(IF(ISBLANK(Original!O43),'Base projeção'!O43*'Base projeção'!$A$16,Original!O43),0)</f>
        <v>0</v>
      </c>
      <c r="P43" s="15">
        <f>ROUND(IF(ISBLANK(Original!P43),'Base projeção'!P43*'Base projeção'!$A$16,Original!P43),0)</f>
        <v>0</v>
      </c>
      <c r="Q43" s="12">
        <f t="shared" si="7"/>
        <v>0</v>
      </c>
      <c r="R43" s="13">
        <f t="shared" si="8"/>
        <v>0</v>
      </c>
    </row>
    <row r="44" ht="14.25" customHeight="1">
      <c r="A44" s="25"/>
      <c r="B44" s="39" t="s">
        <v>41</v>
      </c>
      <c r="C44" s="15">
        <f>ROUND(IF(ISBLANK(Original!C44),'Base projeção'!C44*'Base projeção'!$A$16,Original!C44),0)</f>
        <v>0</v>
      </c>
      <c r="D44" s="15">
        <f>ROUND(IF(ISBLANK(Original!D44),'Base projeção'!D44*'Base projeção'!$A$16,Original!D44),0)</f>
        <v>0</v>
      </c>
      <c r="E44" s="15">
        <f>ROUND(IF(ISBLANK(Original!E44),'Base projeção'!E44*'Base projeção'!$A$16,Original!E44),0)</f>
        <v>0</v>
      </c>
      <c r="F44" s="15">
        <f>ROUND(IF(ISBLANK(Original!F44),'Base projeção'!F44*'Base projeção'!$A$16,Original!F44),0)</f>
        <v>0</v>
      </c>
      <c r="G44" s="15">
        <f>ROUND(IF(ISBLANK(Original!G44),'Base projeção'!G44*'Base projeção'!$A$16,Original!G44),0)</f>
        <v>0</v>
      </c>
      <c r="H44" s="15">
        <f>ROUND(IF(ISBLANK(Original!H44),'Base projeção'!H44*'Base projeção'!$A$16,Original!H44),0)</f>
        <v>0</v>
      </c>
      <c r="I44" s="15">
        <f>ROUND(IF(ISBLANK(Original!I44),'Base projeção'!I44*'Base projeção'!$A$16,Original!I44),0)</f>
        <v>0</v>
      </c>
      <c r="J44" s="15">
        <f>ROUND(IF(ISBLANK(Original!J44),'Base projeção'!J44*'Base projeção'!$A$16,Original!J44),0)</f>
        <v>0</v>
      </c>
      <c r="K44" s="15">
        <f>ROUND(IF(ISBLANK(Original!K44),'Base projeção'!K44*'Base projeção'!$A$16,Original!K44),0)</f>
        <v>0</v>
      </c>
      <c r="L44" s="15">
        <f>ROUND(IF(ISBLANK(Original!L44),'Base projeção'!L44*'Base projeção'!$A$16,Original!L44),0)</f>
        <v>0</v>
      </c>
      <c r="M44" s="15">
        <f>ROUND(IF(ISBLANK(Original!M44),'Base projeção'!M44*'Base projeção'!$A$16,Original!M44),0)</f>
        <v>0</v>
      </c>
      <c r="N44" s="15">
        <f>ROUND(IF(ISBLANK(Original!N44),'Base projeção'!N44*'Base projeção'!$A$16,Original!N44),0)</f>
        <v>0</v>
      </c>
      <c r="O44" s="15">
        <f>ROUND(IF(ISBLANK(Original!O44),'Base projeção'!O44*'Base projeção'!$A$16,Original!O44),0)</f>
        <v>0</v>
      </c>
      <c r="P44" s="15">
        <f>ROUND(IF(ISBLANK(Original!P44),'Base projeção'!P44*'Base projeção'!$A$16,Original!P44),0)</f>
        <v>0</v>
      </c>
      <c r="Q44" s="12">
        <f t="shared" si="7"/>
        <v>0</v>
      </c>
      <c r="R44" s="13">
        <f t="shared" si="8"/>
        <v>0</v>
      </c>
    </row>
    <row r="45" ht="14.25" customHeight="1">
      <c r="A45" s="25"/>
      <c r="B45" s="39" t="s">
        <v>42</v>
      </c>
      <c r="C45" s="15">
        <f>ROUND(IF(ISBLANK(Original!C45),'Base projeção'!C45*'Base projeção'!$A$16,Original!C45),0)</f>
        <v>7</v>
      </c>
      <c r="D45" s="15">
        <f>ROUND(IF(ISBLANK(Original!D45),'Base projeção'!D45*'Base projeção'!$A$16,Original!D45),0)</f>
        <v>8</v>
      </c>
      <c r="E45" s="15">
        <f>ROUND(IF(ISBLANK(Original!E45),'Base projeção'!E45*'Base projeção'!$A$16,Original!E45),0)</f>
        <v>10</v>
      </c>
      <c r="F45" s="15">
        <f>ROUND(IF(ISBLANK(Original!F45),'Base projeção'!F45*'Base projeção'!$A$16,Original!F45),0)</f>
        <v>11</v>
      </c>
      <c r="G45" s="15">
        <f>ROUND(IF(ISBLANK(Original!G45),'Base projeção'!G45*'Base projeção'!$A$16,Original!G45),0)</f>
        <v>12</v>
      </c>
      <c r="H45" s="15">
        <f>ROUND(IF(ISBLANK(Original!H45),'Base projeção'!H45*'Base projeção'!$A$16,Original!H45),0)</f>
        <v>13</v>
      </c>
      <c r="I45" s="15">
        <f>ROUND(IF(ISBLANK(Original!I45),'Base projeção'!I45*'Base projeção'!$A$16,Original!I45),0)</f>
        <v>14</v>
      </c>
      <c r="J45" s="15">
        <f>ROUND(IF(ISBLANK(Original!J45),'Base projeção'!J45*'Base projeção'!$A$16,Original!J45),0)</f>
        <v>16</v>
      </c>
      <c r="K45" s="15">
        <f>ROUND(IF(ISBLANK(Original!K45),'Base projeção'!K45*'Base projeção'!$A$16,Original!K45),0)</f>
        <v>17</v>
      </c>
      <c r="L45" s="15">
        <f>ROUND(IF(ISBLANK(Original!L45),'Base projeção'!L45*'Base projeção'!$A$16,Original!L45),0)</f>
        <v>18</v>
      </c>
      <c r="M45" s="15">
        <f>ROUND(IF(ISBLANK(Original!M45),'Base projeção'!M45*'Base projeção'!$A$16,Original!M45),0)</f>
        <v>19</v>
      </c>
      <c r="N45" s="15">
        <f>ROUND(IF(ISBLANK(Original!N45),'Base projeção'!N45*'Base projeção'!$A$16,Original!N45),0)</f>
        <v>20</v>
      </c>
      <c r="O45" s="15">
        <f>ROUND(IF(ISBLANK(Original!O45),'Base projeção'!O45*'Base projeção'!$A$16,Original!O45),0)</f>
        <v>22</v>
      </c>
      <c r="P45" s="15">
        <f>ROUND(IF(ISBLANK(Original!P45),'Base projeção'!P45*'Base projeção'!$A$16,Original!P45),0)</f>
        <v>23</v>
      </c>
      <c r="Q45" s="12">
        <f t="shared" si="7"/>
        <v>210</v>
      </c>
      <c r="R45" s="13">
        <f t="shared" si="8"/>
        <v>0.205078125</v>
      </c>
    </row>
    <row r="46" ht="14.25" customHeight="1">
      <c r="A46" s="25"/>
      <c r="B46" s="39" t="s">
        <v>43</v>
      </c>
      <c r="C46" s="15">
        <f>ROUND(IF(ISBLANK(Original!C46),'Base projeção'!C46*'Base projeção'!$A$16,Original!C46),0)</f>
        <v>59</v>
      </c>
      <c r="D46" s="15">
        <f>ROUND(IF(ISBLANK(Original!D46),'Base projeção'!D46*'Base projeção'!$A$16,Original!D46),0)</f>
        <v>79</v>
      </c>
      <c r="E46" s="15">
        <f>ROUND(IF(ISBLANK(Original!E46),'Base projeção'!E46*'Base projeção'!$A$16,Original!E46),0)</f>
        <v>79</v>
      </c>
      <c r="F46" s="15">
        <f>ROUND(IF(ISBLANK(Original!F46),'Base projeção'!F46*'Base projeção'!$A$16,Original!F46),0)</f>
        <v>64</v>
      </c>
      <c r="G46" s="15">
        <f>ROUND(IF(ISBLANK(Original!G46),'Base projeção'!G46*'Base projeção'!$A$16,Original!G46),0)</f>
        <v>66</v>
      </c>
      <c r="H46" s="15">
        <f>ROUND(IF(ISBLANK(Original!H46),'Base projeção'!H46*'Base projeção'!$A$16,Original!H46),0)</f>
        <v>83</v>
      </c>
      <c r="I46" s="15">
        <f>ROUND(IF(ISBLANK(Original!I46),'Base projeção'!I46*'Base projeção'!$A$16,Original!I46),0)</f>
        <v>67</v>
      </c>
      <c r="J46" s="15">
        <f>ROUND(IF(ISBLANK(Original!J46),'Base projeção'!J46*'Base projeção'!$A$16,Original!J46),0)</f>
        <v>42</v>
      </c>
      <c r="K46" s="15">
        <f>ROUND(IF(ISBLANK(Original!K46),'Base projeção'!K46*'Base projeção'!$A$16,Original!K46),0)</f>
        <v>61</v>
      </c>
      <c r="L46" s="15">
        <f>ROUND(IF(ISBLANK(Original!L46),'Base projeção'!L46*'Base projeção'!$A$16,Original!L46),0)</f>
        <v>59</v>
      </c>
      <c r="M46" s="15">
        <f>ROUND(IF(ISBLANK(Original!M46),'Base projeção'!M46*'Base projeção'!$A$16,Original!M46),0)</f>
        <v>106</v>
      </c>
      <c r="N46" s="15">
        <f>ROUND(IF(ISBLANK(Original!N46),'Base projeção'!N46*'Base projeção'!$A$16,Original!N46),0)</f>
        <v>124</v>
      </c>
      <c r="O46" s="15">
        <f>ROUND(IF(ISBLANK(Original!O46),'Base projeção'!O46*'Base projeção'!$A$16,Original!O46),0)</f>
        <v>78</v>
      </c>
      <c r="P46" s="15">
        <f>ROUND(IF(ISBLANK(Original!P46),'Base projeção'!P46*'Base projeção'!$A$16,Original!P46),0)</f>
        <v>63</v>
      </c>
      <c r="Q46" s="12">
        <f t="shared" si="7"/>
        <v>1030</v>
      </c>
      <c r="R46" s="13">
        <f t="shared" si="8"/>
        <v>1.005859375</v>
      </c>
    </row>
  </sheetData>
  <mergeCells count="3">
    <mergeCell ref="A1:R1"/>
    <mergeCell ref="A18:R18"/>
    <mergeCell ref="A29:R29"/>
  </mergeCell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9" t="s">
        <v>16</v>
      </c>
    </row>
    <row r="2" ht="12.0" customHeight="1">
      <c r="A2" s="10" t="s">
        <v>17</v>
      </c>
      <c r="B2" s="10" t="s">
        <v>18</v>
      </c>
      <c r="C2" s="11">
        <v>6.0</v>
      </c>
      <c r="D2" s="11">
        <v>7.0</v>
      </c>
      <c r="E2" s="11">
        <v>8.0</v>
      </c>
      <c r="F2" s="11">
        <v>9.0</v>
      </c>
      <c r="G2" s="11">
        <v>10.0</v>
      </c>
      <c r="H2" s="11">
        <v>11.0</v>
      </c>
      <c r="I2" s="11">
        <v>12.0</v>
      </c>
      <c r="J2" s="11">
        <v>13.0</v>
      </c>
      <c r="K2" s="11">
        <v>14.0</v>
      </c>
      <c r="L2" s="11">
        <v>15.0</v>
      </c>
      <c r="M2" s="11">
        <v>16.0</v>
      </c>
      <c r="N2" s="11">
        <v>17.0</v>
      </c>
      <c r="O2" s="11">
        <v>18.0</v>
      </c>
      <c r="P2" s="11">
        <v>19.0</v>
      </c>
      <c r="Q2" s="12" t="s">
        <v>19</v>
      </c>
      <c r="R2" s="13" t="s">
        <v>20</v>
      </c>
    </row>
    <row r="3" ht="14.25" customHeight="1">
      <c r="A3" s="14" t="s">
        <v>21</v>
      </c>
      <c r="B3" s="14" t="s">
        <v>22</v>
      </c>
      <c r="C3" s="15"/>
      <c r="D3" s="15"/>
      <c r="E3" s="15"/>
      <c r="F3" s="15"/>
      <c r="G3" s="15"/>
      <c r="H3" s="15"/>
      <c r="I3" s="15"/>
      <c r="J3" s="15"/>
      <c r="K3" s="15">
        <v>2.0</v>
      </c>
      <c r="L3" s="41">
        <v>0.0</v>
      </c>
      <c r="M3" s="15">
        <v>0.0</v>
      </c>
      <c r="N3" s="15">
        <v>0.0</v>
      </c>
      <c r="O3" s="15">
        <v>1.0</v>
      </c>
      <c r="P3" s="15"/>
      <c r="Q3" s="16">
        <f t="shared" ref="Q3:Q14" si="1">SUM(C3:P3)</f>
        <v>3</v>
      </c>
      <c r="R3" s="17">
        <f t="shared" ref="R3:R14" si="2">Q3/$Q$15</f>
        <v>0.007009345794</v>
      </c>
    </row>
    <row r="4" ht="14.25" customHeight="1">
      <c r="A4" s="14" t="s">
        <v>21</v>
      </c>
      <c r="B4" s="14" t="s">
        <v>23</v>
      </c>
      <c r="C4" s="15"/>
      <c r="D4" s="15"/>
      <c r="E4" s="15"/>
      <c r="F4" s="15"/>
      <c r="G4" s="15"/>
      <c r="H4" s="15"/>
      <c r="I4" s="15"/>
      <c r="J4" s="15"/>
      <c r="K4" s="15">
        <v>1.0</v>
      </c>
      <c r="L4" s="15">
        <v>2.0</v>
      </c>
      <c r="M4" s="15">
        <v>0.0</v>
      </c>
      <c r="N4" s="15">
        <v>2.0</v>
      </c>
      <c r="O4" s="15">
        <v>0.0</v>
      </c>
      <c r="P4" s="15"/>
      <c r="Q4" s="16">
        <f t="shared" si="1"/>
        <v>5</v>
      </c>
      <c r="R4" s="17">
        <f t="shared" si="2"/>
        <v>0.01168224299</v>
      </c>
    </row>
    <row r="5" ht="14.25" customHeight="1">
      <c r="A5" s="14" t="s">
        <v>21</v>
      </c>
      <c r="B5" s="14" t="s">
        <v>24</v>
      </c>
      <c r="C5" s="15"/>
      <c r="D5" s="15"/>
      <c r="E5" s="15"/>
      <c r="F5" s="15"/>
      <c r="G5" s="15"/>
      <c r="H5" s="15"/>
      <c r="I5" s="15"/>
      <c r="J5" s="15"/>
      <c r="K5" s="41">
        <v>0.0</v>
      </c>
      <c r="L5" s="15">
        <v>2.0</v>
      </c>
      <c r="M5" s="15">
        <v>0.0</v>
      </c>
      <c r="N5" s="15">
        <v>0.0</v>
      </c>
      <c r="O5" s="15">
        <v>0.0</v>
      </c>
      <c r="P5" s="15"/>
      <c r="Q5" s="16">
        <f t="shared" si="1"/>
        <v>2</v>
      </c>
      <c r="R5" s="17">
        <f t="shared" si="2"/>
        <v>0.004672897196</v>
      </c>
    </row>
    <row r="6" ht="14.25" customHeight="1">
      <c r="A6" s="14" t="s">
        <v>24</v>
      </c>
      <c r="B6" s="14" t="s">
        <v>21</v>
      </c>
      <c r="C6" s="15"/>
      <c r="D6" s="15"/>
      <c r="E6" s="15"/>
      <c r="F6" s="15"/>
      <c r="G6" s="15"/>
      <c r="H6" s="15"/>
      <c r="I6" s="15"/>
      <c r="J6" s="15"/>
      <c r="K6" s="15">
        <v>1.0</v>
      </c>
      <c r="L6" s="41">
        <v>0.0</v>
      </c>
      <c r="M6" s="15">
        <v>2.0</v>
      </c>
      <c r="N6" s="15">
        <v>3.0</v>
      </c>
      <c r="O6" s="15">
        <v>2.0</v>
      </c>
      <c r="P6" s="15"/>
      <c r="Q6" s="16">
        <f t="shared" si="1"/>
        <v>8</v>
      </c>
      <c r="R6" s="17">
        <f t="shared" si="2"/>
        <v>0.01869158879</v>
      </c>
    </row>
    <row r="7" ht="14.25" customHeight="1">
      <c r="A7" s="14" t="s">
        <v>24</v>
      </c>
      <c r="B7" s="14" t="s">
        <v>22</v>
      </c>
      <c r="C7" s="15"/>
      <c r="D7" s="15"/>
      <c r="E7" s="15"/>
      <c r="F7" s="15"/>
      <c r="G7" s="15"/>
      <c r="H7" s="15"/>
      <c r="I7" s="15"/>
      <c r="J7" s="15"/>
      <c r="K7" s="15">
        <v>5.0</v>
      </c>
      <c r="L7" s="15">
        <v>9.0</v>
      </c>
      <c r="M7" s="15">
        <v>14.0</v>
      </c>
      <c r="N7" s="15">
        <v>14.0</v>
      </c>
      <c r="O7" s="15">
        <v>9.0</v>
      </c>
      <c r="P7" s="15"/>
      <c r="Q7" s="16">
        <f t="shared" si="1"/>
        <v>51</v>
      </c>
      <c r="R7" s="17">
        <f t="shared" si="2"/>
        <v>0.1191588785</v>
      </c>
    </row>
    <row r="8" ht="14.25" customHeight="1">
      <c r="A8" s="14" t="s">
        <v>24</v>
      </c>
      <c r="B8" s="14" t="s">
        <v>23</v>
      </c>
      <c r="C8" s="15"/>
      <c r="D8" s="15"/>
      <c r="E8" s="15"/>
      <c r="F8" s="15"/>
      <c r="G8" s="15"/>
      <c r="H8" s="15"/>
      <c r="I8" s="15"/>
      <c r="J8" s="15"/>
      <c r="K8" s="15">
        <v>2.0</v>
      </c>
      <c r="L8" s="15">
        <v>5.0</v>
      </c>
      <c r="M8" s="15">
        <v>1.0</v>
      </c>
      <c r="N8" s="15">
        <v>2.0</v>
      </c>
      <c r="O8" s="15">
        <v>3.0</v>
      </c>
      <c r="P8" s="15"/>
      <c r="Q8" s="16">
        <f t="shared" si="1"/>
        <v>13</v>
      </c>
      <c r="R8" s="17">
        <f t="shared" si="2"/>
        <v>0.03037383178</v>
      </c>
    </row>
    <row r="9" ht="14.25" customHeight="1">
      <c r="A9" s="14" t="s">
        <v>22</v>
      </c>
      <c r="B9" s="14" t="s">
        <v>23</v>
      </c>
      <c r="C9" s="15"/>
      <c r="D9" s="15"/>
      <c r="E9" s="15"/>
      <c r="F9" s="15"/>
      <c r="G9" s="15"/>
      <c r="H9" s="15"/>
      <c r="I9" s="15"/>
      <c r="J9" s="15"/>
      <c r="K9" s="15">
        <v>2.0</v>
      </c>
      <c r="L9" s="15">
        <v>2.0</v>
      </c>
      <c r="M9" s="15">
        <v>0.0</v>
      </c>
      <c r="N9" s="15">
        <v>4.0</v>
      </c>
      <c r="O9" s="15">
        <v>0.0</v>
      </c>
      <c r="P9" s="15"/>
      <c r="Q9" s="16">
        <f t="shared" si="1"/>
        <v>8</v>
      </c>
      <c r="R9" s="17">
        <f t="shared" si="2"/>
        <v>0.01869158879</v>
      </c>
    </row>
    <row r="10" ht="14.25" customHeight="1">
      <c r="A10" s="14" t="s">
        <v>22</v>
      </c>
      <c r="B10" s="14" t="s">
        <v>24</v>
      </c>
      <c r="C10" s="15"/>
      <c r="D10" s="15"/>
      <c r="E10" s="15"/>
      <c r="F10" s="15"/>
      <c r="G10" s="15"/>
      <c r="H10" s="15"/>
      <c r="I10" s="15"/>
      <c r="J10" s="15"/>
      <c r="K10" s="41">
        <v>0.0</v>
      </c>
      <c r="L10" s="15">
        <v>3.0</v>
      </c>
      <c r="M10" s="15">
        <v>2.0</v>
      </c>
      <c r="N10" s="15">
        <v>2.0</v>
      </c>
      <c r="O10" s="15">
        <v>1.0</v>
      </c>
      <c r="P10" s="15"/>
      <c r="Q10" s="16">
        <f t="shared" si="1"/>
        <v>8</v>
      </c>
      <c r="R10" s="17">
        <f t="shared" si="2"/>
        <v>0.01869158879</v>
      </c>
    </row>
    <row r="11" ht="14.25" customHeight="1">
      <c r="A11" s="14" t="s">
        <v>22</v>
      </c>
      <c r="B11" s="14" t="s">
        <v>21</v>
      </c>
      <c r="C11" s="15"/>
      <c r="D11" s="15"/>
      <c r="E11" s="15"/>
      <c r="F11" s="15"/>
      <c r="G11" s="15"/>
      <c r="H11" s="15"/>
      <c r="I11" s="15"/>
      <c r="J11" s="15"/>
      <c r="K11" s="15">
        <v>1.0</v>
      </c>
      <c r="L11" s="15">
        <v>3.0</v>
      </c>
      <c r="M11" s="15">
        <v>5.0</v>
      </c>
      <c r="N11" s="15">
        <v>3.0</v>
      </c>
      <c r="O11" s="15">
        <v>3.0</v>
      </c>
      <c r="P11" s="15"/>
      <c r="Q11" s="16">
        <f t="shared" si="1"/>
        <v>15</v>
      </c>
      <c r="R11" s="17">
        <f t="shared" si="2"/>
        <v>0.03504672897</v>
      </c>
    </row>
    <row r="12" ht="14.25" customHeight="1">
      <c r="A12" s="14" t="s">
        <v>23</v>
      </c>
      <c r="B12" s="14" t="s">
        <v>24</v>
      </c>
      <c r="C12" s="15"/>
      <c r="D12" s="15"/>
      <c r="E12" s="15"/>
      <c r="F12" s="15"/>
      <c r="G12" s="15"/>
      <c r="H12" s="15"/>
      <c r="I12" s="15"/>
      <c r="J12" s="15"/>
      <c r="K12" s="15">
        <v>2.0</v>
      </c>
      <c r="L12" s="41">
        <v>0.0</v>
      </c>
      <c r="M12" s="15">
        <v>0.0</v>
      </c>
      <c r="N12" s="15">
        <v>3.0</v>
      </c>
      <c r="O12" s="15">
        <v>0.0</v>
      </c>
      <c r="P12" s="15"/>
      <c r="Q12" s="16">
        <f t="shared" si="1"/>
        <v>5</v>
      </c>
      <c r="R12" s="17">
        <f t="shared" si="2"/>
        <v>0.01168224299</v>
      </c>
    </row>
    <row r="13" ht="14.25" customHeight="1">
      <c r="A13" s="14" t="s">
        <v>23</v>
      </c>
      <c r="B13" s="14" t="s">
        <v>21</v>
      </c>
      <c r="C13" s="15"/>
      <c r="D13" s="15"/>
      <c r="E13" s="15"/>
      <c r="F13" s="15"/>
      <c r="G13" s="15"/>
      <c r="H13" s="15"/>
      <c r="I13" s="15"/>
      <c r="J13" s="15"/>
      <c r="K13" s="15">
        <v>37.0</v>
      </c>
      <c r="L13" s="15">
        <v>34.0</v>
      </c>
      <c r="M13" s="15">
        <v>67.0</v>
      </c>
      <c r="N13" s="15">
        <v>75.0</v>
      </c>
      <c r="O13" s="15">
        <v>66.0</v>
      </c>
      <c r="P13" s="15"/>
      <c r="Q13" s="16">
        <f t="shared" si="1"/>
        <v>279</v>
      </c>
      <c r="R13" s="17">
        <f t="shared" si="2"/>
        <v>0.6518691589</v>
      </c>
    </row>
    <row r="14" ht="14.25" customHeight="1">
      <c r="A14" s="14" t="s">
        <v>23</v>
      </c>
      <c r="B14" s="14" t="s">
        <v>22</v>
      </c>
      <c r="C14" s="15"/>
      <c r="D14" s="15"/>
      <c r="E14" s="15"/>
      <c r="F14" s="15"/>
      <c r="G14" s="15"/>
      <c r="H14" s="15"/>
      <c r="I14" s="15"/>
      <c r="J14" s="15"/>
      <c r="K14" s="15">
        <v>7.0</v>
      </c>
      <c r="L14" s="15">
        <v>6.0</v>
      </c>
      <c r="M14" s="15">
        <v>5.0</v>
      </c>
      <c r="N14" s="15">
        <v>9.0</v>
      </c>
      <c r="O14" s="15">
        <v>4.0</v>
      </c>
      <c r="P14" s="15"/>
      <c r="Q14" s="16">
        <f t="shared" si="1"/>
        <v>31</v>
      </c>
      <c r="R14" s="17">
        <f t="shared" si="2"/>
        <v>0.07242990654</v>
      </c>
    </row>
    <row r="15" ht="14.25" customHeight="1">
      <c r="A15" s="18"/>
      <c r="B15" s="18" t="s">
        <v>19</v>
      </c>
      <c r="C15" s="16">
        <f t="shared" ref="C15:Q15" si="3">SUM(C$3:C$14)</f>
        <v>0</v>
      </c>
      <c r="D15" s="16">
        <f t="shared" si="3"/>
        <v>0</v>
      </c>
      <c r="E15" s="16">
        <f t="shared" si="3"/>
        <v>0</v>
      </c>
      <c r="F15" s="16">
        <f t="shared" si="3"/>
        <v>0</v>
      </c>
      <c r="G15" s="16">
        <f t="shared" si="3"/>
        <v>0</v>
      </c>
      <c r="H15" s="16">
        <f t="shared" si="3"/>
        <v>0</v>
      </c>
      <c r="I15" s="16">
        <f t="shared" si="3"/>
        <v>0</v>
      </c>
      <c r="J15" s="16">
        <f t="shared" si="3"/>
        <v>0</v>
      </c>
      <c r="K15" s="16">
        <f t="shared" si="3"/>
        <v>60</v>
      </c>
      <c r="L15" s="16">
        <f t="shared" si="3"/>
        <v>66</v>
      </c>
      <c r="M15" s="16">
        <f t="shared" si="3"/>
        <v>96</v>
      </c>
      <c r="N15" s="16">
        <f t="shared" si="3"/>
        <v>117</v>
      </c>
      <c r="O15" s="16">
        <f t="shared" si="3"/>
        <v>89</v>
      </c>
      <c r="P15" s="16">
        <f t="shared" si="3"/>
        <v>0</v>
      </c>
      <c r="Q15" s="16">
        <f t="shared" si="3"/>
        <v>428</v>
      </c>
      <c r="R15" s="17"/>
    </row>
    <row r="16" ht="13.5" customHeight="1">
      <c r="A16" s="19"/>
      <c r="B16" s="19" t="s">
        <v>25</v>
      </c>
      <c r="C16" s="20">
        <f t="shared" ref="C16:P16" si="4">C15/$Q$15</f>
        <v>0</v>
      </c>
      <c r="D16" s="20">
        <f t="shared" si="4"/>
        <v>0</v>
      </c>
      <c r="E16" s="20">
        <f t="shared" si="4"/>
        <v>0</v>
      </c>
      <c r="F16" s="20">
        <f t="shared" si="4"/>
        <v>0</v>
      </c>
      <c r="G16" s="20">
        <f t="shared" si="4"/>
        <v>0</v>
      </c>
      <c r="H16" s="20">
        <f t="shared" si="4"/>
        <v>0</v>
      </c>
      <c r="I16" s="20">
        <f t="shared" si="4"/>
        <v>0</v>
      </c>
      <c r="J16" s="20">
        <f t="shared" si="4"/>
        <v>0</v>
      </c>
      <c r="K16" s="20">
        <f t="shared" si="4"/>
        <v>0.1401869159</v>
      </c>
      <c r="L16" s="20">
        <f t="shared" si="4"/>
        <v>0.1542056075</v>
      </c>
      <c r="M16" s="20">
        <f t="shared" si="4"/>
        <v>0.2242990654</v>
      </c>
      <c r="N16" s="20">
        <f t="shared" si="4"/>
        <v>0.273364486</v>
      </c>
      <c r="O16" s="20">
        <f t="shared" si="4"/>
        <v>0.2079439252</v>
      </c>
      <c r="P16" s="20">
        <f t="shared" si="4"/>
        <v>0</v>
      </c>
      <c r="Q16" s="20">
        <f>SUM(C16:P16)</f>
        <v>1</v>
      </c>
      <c r="R16" s="17"/>
    </row>
    <row r="17" ht="13.5" customHeight="1">
      <c r="A17" s="21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3"/>
    </row>
    <row r="18" ht="12.0" customHeight="1">
      <c r="A18" s="9" t="s">
        <v>26</v>
      </c>
    </row>
    <row r="19" ht="12.0" customHeight="1">
      <c r="A19" s="24"/>
      <c r="B19" s="10" t="s">
        <v>27</v>
      </c>
      <c r="C19" s="11">
        <v>6.0</v>
      </c>
      <c r="D19" s="11">
        <v>7.0</v>
      </c>
      <c r="E19" s="11">
        <v>8.0</v>
      </c>
      <c r="F19" s="11">
        <v>9.0</v>
      </c>
      <c r="G19" s="11">
        <v>10.0</v>
      </c>
      <c r="H19" s="11">
        <v>11.0</v>
      </c>
      <c r="I19" s="11">
        <v>12.0</v>
      </c>
      <c r="J19" s="11">
        <v>13.0</v>
      </c>
      <c r="K19" s="11">
        <v>14.0</v>
      </c>
      <c r="L19" s="11">
        <v>15.0</v>
      </c>
      <c r="M19" s="11">
        <v>16.0</v>
      </c>
      <c r="N19" s="11">
        <v>17.0</v>
      </c>
      <c r="O19" s="11">
        <v>18.0</v>
      </c>
      <c r="P19" s="11">
        <v>19.0</v>
      </c>
      <c r="Q19" s="12" t="s">
        <v>19</v>
      </c>
      <c r="R19" s="13" t="s">
        <v>20</v>
      </c>
    </row>
    <row r="20" ht="14.25" customHeight="1">
      <c r="A20" s="25"/>
      <c r="B20" s="38" t="s">
        <v>8</v>
      </c>
      <c r="C20" s="39"/>
      <c r="D20" s="39"/>
      <c r="E20" s="39"/>
      <c r="F20" s="39"/>
      <c r="G20" s="39"/>
      <c r="H20" s="39"/>
      <c r="I20" s="39"/>
      <c r="J20" s="39"/>
      <c r="K20" s="39">
        <v>2.0</v>
      </c>
      <c r="L20" s="39">
        <v>7.0</v>
      </c>
      <c r="M20" s="39">
        <v>6.0</v>
      </c>
      <c r="N20" s="39">
        <v>9.0</v>
      </c>
      <c r="O20" s="39">
        <v>10.0</v>
      </c>
      <c r="P20" s="39"/>
      <c r="Q20" s="12">
        <f t="shared" ref="Q20:Q27" si="5">SUM(C20:P20)</f>
        <v>34</v>
      </c>
      <c r="R20" s="13">
        <f t="shared" ref="R20:R27" si="6">Q20/$Q$15</f>
        <v>0.07943925234</v>
      </c>
    </row>
    <row r="21" ht="14.25" customHeight="1">
      <c r="A21" s="25"/>
      <c r="B21" s="38" t="s">
        <v>9</v>
      </c>
      <c r="C21" s="39"/>
      <c r="D21" s="39"/>
      <c r="E21" s="39"/>
      <c r="F21" s="39"/>
      <c r="G21" s="39"/>
      <c r="H21" s="39"/>
      <c r="I21" s="39"/>
      <c r="J21" s="39"/>
      <c r="K21" s="39">
        <v>0.0</v>
      </c>
      <c r="L21" s="39">
        <v>1.0</v>
      </c>
      <c r="M21" s="39">
        <v>0.0</v>
      </c>
      <c r="N21" s="39">
        <v>0.0</v>
      </c>
      <c r="O21" s="39">
        <v>0.0</v>
      </c>
      <c r="P21" s="39"/>
      <c r="Q21" s="12">
        <f t="shared" si="5"/>
        <v>1</v>
      </c>
      <c r="R21" s="13">
        <f t="shared" si="6"/>
        <v>0.002336448598</v>
      </c>
    </row>
    <row r="22" ht="14.25" customHeight="1">
      <c r="A22" s="25"/>
      <c r="B22" s="38" t="s">
        <v>10</v>
      </c>
      <c r="C22" s="39"/>
      <c r="D22" s="39"/>
      <c r="E22" s="39"/>
      <c r="F22" s="39"/>
      <c r="G22" s="39"/>
      <c r="H22" s="39"/>
      <c r="I22" s="39"/>
      <c r="J22" s="39"/>
      <c r="K22" s="39">
        <v>3.0</v>
      </c>
      <c r="L22" s="39">
        <v>4.0</v>
      </c>
      <c r="M22" s="39">
        <v>11.0</v>
      </c>
      <c r="N22" s="39">
        <v>19.0</v>
      </c>
      <c r="O22" s="39">
        <v>19.0</v>
      </c>
      <c r="P22" s="39"/>
      <c r="Q22" s="12">
        <f t="shared" si="5"/>
        <v>56</v>
      </c>
      <c r="R22" s="13">
        <f t="shared" si="6"/>
        <v>0.1308411215</v>
      </c>
    </row>
    <row r="23" ht="14.25" customHeight="1">
      <c r="A23" s="25"/>
      <c r="B23" s="30" t="s">
        <v>11</v>
      </c>
      <c r="C23" s="42"/>
      <c r="D23" s="42"/>
      <c r="E23" s="42"/>
      <c r="F23" s="42"/>
      <c r="G23" s="42"/>
      <c r="H23" s="42"/>
      <c r="I23" s="42"/>
      <c r="J23" s="42"/>
      <c r="K23" s="42">
        <f t="shared" ref="K23:O23" si="7">SUM(K31:K33)</f>
        <v>1</v>
      </c>
      <c r="L23" s="42">
        <f t="shared" si="7"/>
        <v>1</v>
      </c>
      <c r="M23" s="42">
        <f t="shared" si="7"/>
        <v>1</v>
      </c>
      <c r="N23" s="42">
        <f t="shared" si="7"/>
        <v>2</v>
      </c>
      <c r="O23" s="42">
        <f t="shared" si="7"/>
        <v>2</v>
      </c>
      <c r="P23" s="39"/>
      <c r="Q23" s="12">
        <f t="shared" si="5"/>
        <v>7</v>
      </c>
      <c r="R23" s="13">
        <f t="shared" si="6"/>
        <v>0.01635514019</v>
      </c>
    </row>
    <row r="24" ht="14.25" customHeight="1">
      <c r="A24" s="25"/>
      <c r="B24" s="31" t="s">
        <v>12</v>
      </c>
      <c r="C24" s="43"/>
      <c r="D24" s="43"/>
      <c r="E24" s="43"/>
      <c r="F24" s="43"/>
      <c r="G24" s="43"/>
      <c r="H24" s="43"/>
      <c r="I24" s="43"/>
      <c r="J24" s="43"/>
      <c r="K24" s="43">
        <f t="shared" ref="K24:O24" si="8">SUM(K34:K35)</f>
        <v>5</v>
      </c>
      <c r="L24" s="43">
        <f t="shared" si="8"/>
        <v>13</v>
      </c>
      <c r="M24" s="43">
        <f t="shared" si="8"/>
        <v>10</v>
      </c>
      <c r="N24" s="43">
        <f t="shared" si="8"/>
        <v>12</v>
      </c>
      <c r="O24" s="43">
        <f t="shared" si="8"/>
        <v>7</v>
      </c>
      <c r="P24" s="39"/>
      <c r="Q24" s="12">
        <f t="shared" si="5"/>
        <v>47</v>
      </c>
      <c r="R24" s="13">
        <f t="shared" si="6"/>
        <v>0.1098130841</v>
      </c>
    </row>
    <row r="25" ht="14.25" customHeight="1">
      <c r="A25" s="25"/>
      <c r="B25" s="30" t="s">
        <v>13</v>
      </c>
      <c r="C25" s="42"/>
      <c r="D25" s="42"/>
      <c r="E25" s="42"/>
      <c r="F25" s="42"/>
      <c r="G25" s="42"/>
      <c r="H25" s="42"/>
      <c r="I25" s="42"/>
      <c r="J25" s="42"/>
      <c r="K25" s="42">
        <f t="shared" ref="K25:O25" si="9">SUM(K36:K37)</f>
        <v>11</v>
      </c>
      <c r="L25" s="42">
        <f t="shared" si="9"/>
        <v>7</v>
      </c>
      <c r="M25" s="42">
        <f t="shared" si="9"/>
        <v>14</v>
      </c>
      <c r="N25" s="42">
        <f t="shared" si="9"/>
        <v>9</v>
      </c>
      <c r="O25" s="42">
        <f t="shared" si="9"/>
        <v>6</v>
      </c>
      <c r="P25" s="39"/>
      <c r="Q25" s="12">
        <f t="shared" si="5"/>
        <v>47</v>
      </c>
      <c r="R25" s="13">
        <f t="shared" si="6"/>
        <v>0.1098130841</v>
      </c>
    </row>
    <row r="26" ht="14.25" customHeight="1">
      <c r="A26" s="25"/>
      <c r="B26" s="31" t="s">
        <v>14</v>
      </c>
      <c r="C26" s="43"/>
      <c r="D26" s="43"/>
      <c r="E26" s="43"/>
      <c r="F26" s="43"/>
      <c r="G26" s="43"/>
      <c r="H26" s="43"/>
      <c r="I26" s="43"/>
      <c r="J26" s="43"/>
      <c r="K26" s="43">
        <f t="shared" ref="K26:O26" si="10">SUM(K38:K39)</f>
        <v>9</v>
      </c>
      <c r="L26" s="43">
        <f t="shared" si="10"/>
        <v>16</v>
      </c>
      <c r="M26" s="43">
        <f t="shared" si="10"/>
        <v>10</v>
      </c>
      <c r="N26" s="43">
        <f t="shared" si="10"/>
        <v>12</v>
      </c>
      <c r="O26" s="43">
        <f t="shared" si="10"/>
        <v>6</v>
      </c>
      <c r="P26" s="39"/>
      <c r="Q26" s="12">
        <f t="shared" si="5"/>
        <v>53</v>
      </c>
      <c r="R26" s="13">
        <f t="shared" si="6"/>
        <v>0.1238317757</v>
      </c>
    </row>
    <row r="27" ht="14.25" customHeight="1">
      <c r="A27" s="25"/>
      <c r="B27" s="38" t="s">
        <v>15</v>
      </c>
      <c r="C27" s="39"/>
      <c r="D27" s="39"/>
      <c r="E27" s="39"/>
      <c r="F27" s="39"/>
      <c r="G27" s="39"/>
      <c r="H27" s="39"/>
      <c r="I27" s="39"/>
      <c r="J27" s="39"/>
      <c r="K27" s="39">
        <v>2.0</v>
      </c>
      <c r="L27" s="39">
        <v>6.0</v>
      </c>
      <c r="M27" s="39">
        <v>7.0</v>
      </c>
      <c r="N27" s="39">
        <v>16.0</v>
      </c>
      <c r="O27" s="39">
        <v>5.0</v>
      </c>
      <c r="P27" s="39"/>
      <c r="Q27" s="12">
        <f t="shared" si="5"/>
        <v>36</v>
      </c>
      <c r="R27" s="13">
        <f t="shared" si="6"/>
        <v>0.08411214953</v>
      </c>
    </row>
    <row r="28" ht="14.25" customHeight="1">
      <c r="A28" s="32"/>
      <c r="B28" s="32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6"/>
    </row>
    <row r="29" ht="14.25" customHeight="1">
      <c r="A29" s="9" t="s">
        <v>28</v>
      </c>
    </row>
    <row r="30" ht="14.25" customHeight="1">
      <c r="A30" s="24"/>
      <c r="B30" s="10" t="s">
        <v>27</v>
      </c>
      <c r="C30" s="11">
        <v>6.0</v>
      </c>
      <c r="D30" s="11">
        <v>7.0</v>
      </c>
      <c r="E30" s="11">
        <v>8.0</v>
      </c>
      <c r="F30" s="11">
        <v>9.0</v>
      </c>
      <c r="G30" s="11">
        <v>10.0</v>
      </c>
      <c r="H30" s="11">
        <v>11.0</v>
      </c>
      <c r="I30" s="11">
        <v>12.0</v>
      </c>
      <c r="J30" s="11">
        <v>13.0</v>
      </c>
      <c r="K30" s="11">
        <v>14.0</v>
      </c>
      <c r="L30" s="11">
        <v>15.0</v>
      </c>
      <c r="M30" s="11">
        <v>16.0</v>
      </c>
      <c r="N30" s="11">
        <v>17.0</v>
      </c>
      <c r="O30" s="11">
        <v>18.0</v>
      </c>
      <c r="P30" s="11">
        <v>19.0</v>
      </c>
      <c r="Q30" s="12" t="s">
        <v>19</v>
      </c>
      <c r="R30" s="13" t="s">
        <v>20</v>
      </c>
    </row>
    <row r="31" ht="14.25" customHeight="1">
      <c r="A31" s="25"/>
      <c r="B31" s="38" t="s">
        <v>29</v>
      </c>
      <c r="C31" s="39"/>
      <c r="D31" s="39"/>
      <c r="E31" s="39"/>
      <c r="F31" s="39"/>
      <c r="G31" s="39"/>
      <c r="H31" s="39"/>
      <c r="I31" s="39"/>
      <c r="J31" s="39"/>
      <c r="K31" s="39">
        <v>0.0</v>
      </c>
      <c r="L31" s="39">
        <v>1.0</v>
      </c>
      <c r="M31" s="39">
        <v>1.0</v>
      </c>
      <c r="N31" s="39">
        <v>0.0</v>
      </c>
      <c r="O31" s="39">
        <v>0.0</v>
      </c>
      <c r="P31" s="39"/>
      <c r="Q31" s="12">
        <f t="shared" ref="Q31:Q34" si="11">SUM(C31:P31)</f>
        <v>2</v>
      </c>
      <c r="R31" s="13">
        <f t="shared" ref="R31:R34" si="12">Q31/$Q$15</f>
        <v>0.004672897196</v>
      </c>
    </row>
    <row r="32" ht="14.25" customHeight="1">
      <c r="A32" s="25"/>
      <c r="B32" s="38" t="s">
        <v>30</v>
      </c>
      <c r="C32" s="39"/>
      <c r="D32" s="39"/>
      <c r="E32" s="39"/>
      <c r="F32" s="39"/>
      <c r="G32" s="39"/>
      <c r="H32" s="39"/>
      <c r="I32" s="39"/>
      <c r="J32" s="39"/>
      <c r="K32" s="39">
        <v>0.0</v>
      </c>
      <c r="L32" s="39">
        <v>0.0</v>
      </c>
      <c r="M32" s="39">
        <v>0.0</v>
      </c>
      <c r="N32" s="39">
        <v>1.0</v>
      </c>
      <c r="O32" s="39">
        <v>1.0</v>
      </c>
      <c r="P32" s="39"/>
      <c r="Q32" s="12">
        <f t="shared" si="11"/>
        <v>2</v>
      </c>
      <c r="R32" s="13">
        <f t="shared" si="12"/>
        <v>0.004672897196</v>
      </c>
    </row>
    <row r="33" ht="14.25" customHeight="1">
      <c r="A33" s="25"/>
      <c r="B33" s="38" t="s">
        <v>31</v>
      </c>
      <c r="C33" s="39"/>
      <c r="D33" s="39"/>
      <c r="E33" s="39"/>
      <c r="F33" s="39"/>
      <c r="G33" s="39"/>
      <c r="H33" s="39"/>
      <c r="I33" s="39"/>
      <c r="J33" s="39"/>
      <c r="K33" s="39">
        <v>1.0</v>
      </c>
      <c r="L33" s="39">
        <v>0.0</v>
      </c>
      <c r="M33" s="39">
        <v>0.0</v>
      </c>
      <c r="N33" s="39">
        <v>1.0</v>
      </c>
      <c r="O33" s="39">
        <v>1.0</v>
      </c>
      <c r="P33" s="39"/>
      <c r="Q33" s="12">
        <f t="shared" si="11"/>
        <v>3</v>
      </c>
      <c r="R33" s="13">
        <f t="shared" si="12"/>
        <v>0.007009345794</v>
      </c>
    </row>
    <row r="34" ht="14.25" customHeight="1">
      <c r="A34" s="25"/>
      <c r="B34" s="38" t="s">
        <v>32</v>
      </c>
      <c r="C34" s="39"/>
      <c r="D34" s="39"/>
      <c r="E34" s="39"/>
      <c r="F34" s="39"/>
      <c r="G34" s="39"/>
      <c r="H34" s="39"/>
      <c r="I34" s="39"/>
      <c r="J34" s="39"/>
      <c r="K34" s="39">
        <v>5.0</v>
      </c>
      <c r="L34" s="39">
        <v>8.0</v>
      </c>
      <c r="M34" s="39">
        <v>8.0</v>
      </c>
      <c r="N34" s="39">
        <v>4.0</v>
      </c>
      <c r="O34" s="39">
        <v>2.0</v>
      </c>
      <c r="P34" s="39"/>
      <c r="Q34" s="12">
        <f t="shared" si="11"/>
        <v>27</v>
      </c>
      <c r="R34" s="13">
        <f t="shared" si="12"/>
        <v>0.06308411215</v>
      </c>
    </row>
    <row r="35" ht="14.25" customHeight="1">
      <c r="A35" s="25"/>
      <c r="B35" s="39" t="s">
        <v>33</v>
      </c>
      <c r="C35" s="41"/>
      <c r="D35" s="41"/>
      <c r="E35" s="41"/>
      <c r="F35" s="41"/>
      <c r="G35" s="41"/>
      <c r="H35" s="41"/>
      <c r="I35" s="41"/>
      <c r="J35" s="41"/>
      <c r="K35" s="39">
        <v>0.0</v>
      </c>
      <c r="L35" s="39">
        <v>5.0</v>
      </c>
      <c r="M35" s="39">
        <v>2.0</v>
      </c>
      <c r="N35" s="39">
        <v>8.0</v>
      </c>
      <c r="O35" s="39">
        <v>5.0</v>
      </c>
      <c r="P35" s="41"/>
      <c r="Q35" s="12"/>
      <c r="R35" s="13"/>
    </row>
    <row r="36" ht="14.25" customHeight="1">
      <c r="A36" s="25"/>
      <c r="B36" s="38" t="s">
        <v>13</v>
      </c>
      <c r="C36" s="39"/>
      <c r="D36" s="39"/>
      <c r="E36" s="39"/>
      <c r="F36" s="39"/>
      <c r="G36" s="39"/>
      <c r="H36" s="39"/>
      <c r="I36" s="39"/>
      <c r="J36" s="39"/>
      <c r="K36" s="39">
        <v>2.0</v>
      </c>
      <c r="L36" s="39">
        <v>7.0</v>
      </c>
      <c r="M36" s="39">
        <v>8.0</v>
      </c>
      <c r="N36" s="39">
        <v>0.0</v>
      </c>
      <c r="O36" s="39">
        <v>1.0</v>
      </c>
      <c r="P36" s="39"/>
      <c r="Q36" s="12">
        <f>SUM(C36:P36)</f>
        <v>18</v>
      </c>
      <c r="R36" s="13">
        <f>Q36/$Q$15</f>
        <v>0.04205607477</v>
      </c>
    </row>
    <row r="37" ht="14.25" customHeight="1">
      <c r="A37" s="25"/>
      <c r="B37" s="38" t="s">
        <v>34</v>
      </c>
      <c r="C37" s="39"/>
      <c r="D37" s="39"/>
      <c r="E37" s="39"/>
      <c r="F37" s="39"/>
      <c r="G37" s="39"/>
      <c r="H37" s="39"/>
      <c r="I37" s="39"/>
      <c r="J37" s="39"/>
      <c r="K37" s="39">
        <v>9.0</v>
      </c>
      <c r="L37" s="39">
        <v>0.0</v>
      </c>
      <c r="M37" s="39">
        <v>6.0</v>
      </c>
      <c r="N37" s="39">
        <v>9.0</v>
      </c>
      <c r="O37" s="39">
        <v>5.0</v>
      </c>
      <c r="P37" s="39"/>
      <c r="Q37" s="12"/>
      <c r="R37" s="13"/>
    </row>
    <row r="38" ht="14.25" customHeight="1">
      <c r="A38" s="25"/>
      <c r="B38" s="38" t="s">
        <v>35</v>
      </c>
      <c r="C38" s="39"/>
      <c r="D38" s="39"/>
      <c r="E38" s="39"/>
      <c r="F38" s="39"/>
      <c r="G38" s="39"/>
      <c r="H38" s="39"/>
      <c r="I38" s="39"/>
      <c r="J38" s="39"/>
      <c r="K38" s="39">
        <v>8.0</v>
      </c>
      <c r="L38" s="39">
        <v>14.0</v>
      </c>
      <c r="M38" s="39">
        <v>8.0</v>
      </c>
      <c r="N38" s="39">
        <v>12.0</v>
      </c>
      <c r="O38" s="39">
        <v>4.0</v>
      </c>
      <c r="P38" s="39"/>
      <c r="Q38" s="12">
        <f t="shared" ref="Q38:Q46" si="13">SUM(C38:P38)</f>
        <v>46</v>
      </c>
      <c r="R38" s="13">
        <f t="shared" ref="R38:R46" si="14">Q38/$Q$15</f>
        <v>0.1074766355</v>
      </c>
    </row>
    <row r="39" ht="14.25" customHeight="1">
      <c r="A39" s="25"/>
      <c r="B39" s="38" t="s">
        <v>36</v>
      </c>
      <c r="C39" s="39"/>
      <c r="D39" s="39"/>
      <c r="E39" s="39"/>
      <c r="F39" s="39"/>
      <c r="G39" s="39"/>
      <c r="H39" s="39"/>
      <c r="I39" s="39"/>
      <c r="J39" s="39"/>
      <c r="K39" s="39">
        <v>1.0</v>
      </c>
      <c r="L39" s="39">
        <v>2.0</v>
      </c>
      <c r="M39" s="39">
        <v>2.0</v>
      </c>
      <c r="N39" s="39">
        <v>0.0</v>
      </c>
      <c r="O39" s="39">
        <v>2.0</v>
      </c>
      <c r="P39" s="39"/>
      <c r="Q39" s="12">
        <f t="shared" si="13"/>
        <v>7</v>
      </c>
      <c r="R39" s="13">
        <f t="shared" si="14"/>
        <v>0.01635514019</v>
      </c>
    </row>
    <row r="40" ht="14.25" customHeight="1">
      <c r="A40" s="25"/>
      <c r="B40" s="39" t="s">
        <v>37</v>
      </c>
      <c r="C40" s="41"/>
      <c r="D40" s="41"/>
      <c r="E40" s="41"/>
      <c r="F40" s="41"/>
      <c r="G40" s="41"/>
      <c r="H40" s="41"/>
      <c r="I40" s="41"/>
      <c r="J40" s="41"/>
      <c r="K40" s="39">
        <v>1.0</v>
      </c>
      <c r="L40" s="39">
        <v>5.0</v>
      </c>
      <c r="M40" s="39"/>
      <c r="N40" s="39">
        <v>4.0</v>
      </c>
      <c r="O40" s="39">
        <v>10.0</v>
      </c>
      <c r="P40" s="39"/>
      <c r="Q40" s="12">
        <f t="shared" si="13"/>
        <v>20</v>
      </c>
      <c r="R40" s="13">
        <f t="shared" si="14"/>
        <v>0.04672897196</v>
      </c>
    </row>
    <row r="41" ht="14.25" customHeight="1">
      <c r="A41" s="25"/>
      <c r="B41" s="40" t="s">
        <v>38</v>
      </c>
      <c r="C41" s="15"/>
      <c r="D41" s="15"/>
      <c r="E41" s="15"/>
      <c r="F41" s="15"/>
      <c r="G41" s="15"/>
      <c r="H41" s="15"/>
      <c r="I41" s="15"/>
      <c r="J41" s="15"/>
      <c r="K41" s="39"/>
      <c r="L41" s="39"/>
      <c r="M41" s="39"/>
      <c r="N41" s="39"/>
      <c r="O41" s="39"/>
      <c r="P41" s="39"/>
      <c r="Q41" s="12">
        <f t="shared" si="13"/>
        <v>0</v>
      </c>
      <c r="R41" s="13">
        <f t="shared" si="14"/>
        <v>0</v>
      </c>
    </row>
    <row r="42" ht="14.25" customHeight="1">
      <c r="A42" s="25"/>
      <c r="B42" s="40" t="s">
        <v>39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2">
        <f t="shared" si="13"/>
        <v>0</v>
      </c>
      <c r="R42" s="13">
        <f t="shared" si="14"/>
        <v>0</v>
      </c>
    </row>
    <row r="43" ht="14.25" customHeight="1">
      <c r="A43" s="25"/>
      <c r="B43" s="40" t="s">
        <v>40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2">
        <f t="shared" si="13"/>
        <v>0</v>
      </c>
      <c r="R43" s="13">
        <f t="shared" si="14"/>
        <v>0</v>
      </c>
    </row>
    <row r="44" ht="14.25" customHeight="1">
      <c r="A44" s="25"/>
      <c r="B44" s="39" t="s">
        <v>41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2">
        <f t="shared" si="13"/>
        <v>0</v>
      </c>
      <c r="R44" s="13">
        <f t="shared" si="14"/>
        <v>0</v>
      </c>
    </row>
    <row r="45" ht="14.25" customHeight="1">
      <c r="A45" s="25"/>
      <c r="B45" s="39" t="s">
        <v>42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2">
        <f t="shared" si="13"/>
        <v>0</v>
      </c>
      <c r="R45" s="13">
        <f t="shared" si="14"/>
        <v>0</v>
      </c>
    </row>
    <row r="46" ht="14.25" customHeight="1">
      <c r="A46" s="25"/>
      <c r="B46" s="39" t="s">
        <v>43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2">
        <f t="shared" si="13"/>
        <v>0</v>
      </c>
      <c r="R46" s="13">
        <f t="shared" si="14"/>
        <v>0</v>
      </c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2" max="2" width="16.13"/>
    <col customWidth="1" min="3" max="12" width="6.63"/>
    <col customWidth="1" min="13" max="14" width="7.75"/>
    <col customWidth="1" min="15" max="16" width="6.63"/>
    <col customWidth="1" min="17" max="17" width="8.88"/>
    <col customWidth="1" min="18" max="18" width="6.63"/>
  </cols>
  <sheetData>
    <row r="1">
      <c r="A1" s="44" t="s">
        <v>16</v>
      </c>
    </row>
    <row r="2">
      <c r="A2" s="45" t="s">
        <v>17</v>
      </c>
      <c r="B2" s="45" t="s">
        <v>18</v>
      </c>
      <c r="C2" s="46">
        <v>6.0</v>
      </c>
      <c r="D2" s="46">
        <v>7.0</v>
      </c>
      <c r="E2" s="46">
        <v>8.0</v>
      </c>
      <c r="F2" s="46">
        <v>9.0</v>
      </c>
      <c r="G2" s="46">
        <v>10.0</v>
      </c>
      <c r="H2" s="46">
        <v>11.0</v>
      </c>
      <c r="I2" s="46">
        <v>12.0</v>
      </c>
      <c r="J2" s="46">
        <v>13.0</v>
      </c>
      <c r="K2" s="46">
        <v>14.0</v>
      </c>
      <c r="L2" s="46">
        <v>15.0</v>
      </c>
      <c r="M2" s="46">
        <v>16.0</v>
      </c>
      <c r="N2" s="46">
        <v>17.0</v>
      </c>
      <c r="O2" s="46">
        <v>18.0</v>
      </c>
      <c r="P2" s="46">
        <v>19.0</v>
      </c>
      <c r="Q2" s="46" t="s">
        <v>19</v>
      </c>
      <c r="R2" s="47" t="s">
        <v>20</v>
      </c>
    </row>
    <row r="3">
      <c r="A3" s="48" t="s">
        <v>21</v>
      </c>
      <c r="B3" s="48" t="s">
        <v>44</v>
      </c>
      <c r="C3" s="49">
        <v>0.0</v>
      </c>
      <c r="D3" s="49">
        <v>3.0</v>
      </c>
      <c r="E3" s="49">
        <v>1.0</v>
      </c>
      <c r="F3" s="49">
        <v>0.0</v>
      </c>
      <c r="G3" s="49">
        <v>2.0</v>
      </c>
      <c r="H3" s="49">
        <v>3.0</v>
      </c>
      <c r="I3" s="49">
        <v>1.0</v>
      </c>
      <c r="J3" s="49">
        <v>0.0</v>
      </c>
      <c r="K3" s="49">
        <v>2.0</v>
      </c>
      <c r="L3" s="49">
        <v>1.0</v>
      </c>
      <c r="M3" s="49">
        <v>2.0</v>
      </c>
      <c r="N3" s="49">
        <v>4.0</v>
      </c>
      <c r="O3" s="49">
        <v>1.0</v>
      </c>
      <c r="P3" s="49">
        <v>0.0</v>
      </c>
      <c r="Q3" s="46">
        <f t="shared" ref="Q3:Q14" si="1">SUM(C3:P3)</f>
        <v>20</v>
      </c>
      <c r="R3" s="47">
        <f t="shared" ref="R3:R14" si="2">Q3/$Q$15</f>
        <v>0.02333722287</v>
      </c>
    </row>
    <row r="4">
      <c r="A4" s="50" t="s">
        <v>21</v>
      </c>
      <c r="B4" s="50" t="s">
        <v>22</v>
      </c>
      <c r="C4" s="51">
        <v>1.0</v>
      </c>
      <c r="D4" s="51">
        <v>2.0</v>
      </c>
      <c r="E4" s="51">
        <v>4.0</v>
      </c>
      <c r="F4" s="51">
        <v>0.0</v>
      </c>
      <c r="G4" s="51">
        <v>2.0</v>
      </c>
      <c r="H4" s="51">
        <v>2.0</v>
      </c>
      <c r="I4" s="51">
        <v>2.0</v>
      </c>
      <c r="J4" s="51">
        <v>0.0</v>
      </c>
      <c r="K4" s="51">
        <v>1.0</v>
      </c>
      <c r="L4" s="51">
        <v>2.0</v>
      </c>
      <c r="M4" s="51">
        <v>1.0</v>
      </c>
      <c r="N4" s="51">
        <v>1.0</v>
      </c>
      <c r="O4" s="51">
        <v>0.0</v>
      </c>
      <c r="P4" s="51">
        <v>0.0</v>
      </c>
      <c r="Q4" s="46">
        <f t="shared" si="1"/>
        <v>18</v>
      </c>
      <c r="R4" s="47">
        <f t="shared" si="2"/>
        <v>0.02100350058</v>
      </c>
    </row>
    <row r="5">
      <c r="A5" s="48" t="s">
        <v>21</v>
      </c>
      <c r="B5" s="48" t="s">
        <v>24</v>
      </c>
      <c r="C5" s="49">
        <v>0.0</v>
      </c>
      <c r="D5" s="49">
        <v>0.0</v>
      </c>
      <c r="E5" s="49">
        <v>1.0</v>
      </c>
      <c r="F5" s="49">
        <v>0.0</v>
      </c>
      <c r="G5" s="49">
        <v>1.0</v>
      </c>
      <c r="H5" s="49">
        <v>0.0</v>
      </c>
      <c r="I5" s="49">
        <v>1.0</v>
      </c>
      <c r="J5" s="49">
        <v>0.0</v>
      </c>
      <c r="K5" s="49">
        <v>0.0</v>
      </c>
      <c r="L5" s="49">
        <v>2.0</v>
      </c>
      <c r="M5" s="49">
        <v>1.0</v>
      </c>
      <c r="N5" s="49">
        <v>0.0</v>
      </c>
      <c r="O5" s="49">
        <v>0.0</v>
      </c>
      <c r="P5" s="49">
        <v>0.0</v>
      </c>
      <c r="Q5" s="46">
        <f t="shared" si="1"/>
        <v>6</v>
      </c>
      <c r="R5" s="47">
        <f t="shared" si="2"/>
        <v>0.007001166861</v>
      </c>
    </row>
    <row r="6">
      <c r="A6" s="50" t="s">
        <v>24</v>
      </c>
      <c r="B6" s="50" t="s">
        <v>21</v>
      </c>
      <c r="C6" s="51">
        <v>0.0</v>
      </c>
      <c r="D6" s="51">
        <v>0.0</v>
      </c>
      <c r="E6" s="51">
        <v>3.0</v>
      </c>
      <c r="F6" s="51">
        <v>2.0</v>
      </c>
      <c r="G6" s="51">
        <v>1.0</v>
      </c>
      <c r="H6" s="51">
        <v>2.0</v>
      </c>
      <c r="I6" s="51">
        <v>7.0</v>
      </c>
      <c r="J6" s="51">
        <v>0.0</v>
      </c>
      <c r="K6" s="51">
        <v>4.0</v>
      </c>
      <c r="L6" s="51">
        <v>2.0</v>
      </c>
      <c r="M6" s="51">
        <v>1.0</v>
      </c>
      <c r="N6" s="51">
        <v>3.0</v>
      </c>
      <c r="O6" s="51">
        <v>0.0</v>
      </c>
      <c r="P6" s="51">
        <v>2.0</v>
      </c>
      <c r="Q6" s="46">
        <f t="shared" si="1"/>
        <v>27</v>
      </c>
      <c r="R6" s="47">
        <f t="shared" si="2"/>
        <v>0.03150525088</v>
      </c>
    </row>
    <row r="7">
      <c r="A7" s="48" t="s">
        <v>24</v>
      </c>
      <c r="B7" s="48" t="s">
        <v>44</v>
      </c>
      <c r="C7" s="49">
        <v>18.0</v>
      </c>
      <c r="D7" s="49">
        <v>27.0</v>
      </c>
      <c r="E7" s="49">
        <v>15.0</v>
      </c>
      <c r="F7" s="49">
        <v>11.0</v>
      </c>
      <c r="G7" s="49">
        <v>10.0</v>
      </c>
      <c r="H7" s="49">
        <v>5.0</v>
      </c>
      <c r="I7" s="49">
        <v>2.0</v>
      </c>
      <c r="J7" s="49">
        <v>5.0</v>
      </c>
      <c r="K7" s="49">
        <v>13.0</v>
      </c>
      <c r="L7" s="49">
        <v>9.0</v>
      </c>
      <c r="M7" s="49">
        <v>12.0</v>
      </c>
      <c r="N7" s="49">
        <v>16.0</v>
      </c>
      <c r="O7" s="49">
        <v>11.0</v>
      </c>
      <c r="P7" s="49">
        <v>6.0</v>
      </c>
      <c r="Q7" s="46">
        <f t="shared" si="1"/>
        <v>160</v>
      </c>
      <c r="R7" s="47">
        <f t="shared" si="2"/>
        <v>0.186697783</v>
      </c>
    </row>
    <row r="8">
      <c r="A8" s="50" t="s">
        <v>24</v>
      </c>
      <c r="B8" s="50" t="s">
        <v>22</v>
      </c>
      <c r="C8" s="51">
        <v>0.0</v>
      </c>
      <c r="D8" s="51">
        <v>4.0</v>
      </c>
      <c r="E8" s="51">
        <v>4.0</v>
      </c>
      <c r="F8" s="51">
        <v>2.0</v>
      </c>
      <c r="G8" s="51">
        <v>1.0</v>
      </c>
      <c r="H8" s="51">
        <v>4.0</v>
      </c>
      <c r="I8" s="51">
        <v>3.0</v>
      </c>
      <c r="J8" s="51">
        <v>3.0</v>
      </c>
      <c r="K8" s="51">
        <v>4.0</v>
      </c>
      <c r="L8" s="51">
        <v>3.0</v>
      </c>
      <c r="M8" s="51">
        <v>2.0</v>
      </c>
      <c r="N8" s="51">
        <v>1.0</v>
      </c>
      <c r="O8" s="51">
        <v>2.0</v>
      </c>
      <c r="P8" s="51">
        <v>1.0</v>
      </c>
      <c r="Q8" s="46">
        <f t="shared" si="1"/>
        <v>34</v>
      </c>
      <c r="R8" s="47">
        <f t="shared" si="2"/>
        <v>0.03967327888</v>
      </c>
    </row>
    <row r="9">
      <c r="A9" s="48" t="s">
        <v>22</v>
      </c>
      <c r="B9" s="48" t="s">
        <v>24</v>
      </c>
      <c r="C9" s="49">
        <v>0.0</v>
      </c>
      <c r="D9" s="49">
        <v>1.0</v>
      </c>
      <c r="E9" s="49">
        <v>2.0</v>
      </c>
      <c r="F9" s="49">
        <v>3.0</v>
      </c>
      <c r="G9" s="49">
        <v>0.0</v>
      </c>
      <c r="H9" s="49">
        <v>2.0</v>
      </c>
      <c r="I9" s="49">
        <v>23.0</v>
      </c>
      <c r="J9" s="49">
        <v>0.0</v>
      </c>
      <c r="K9" s="49">
        <v>0.0</v>
      </c>
      <c r="L9" s="49">
        <v>4.0</v>
      </c>
      <c r="M9" s="49">
        <v>2.0</v>
      </c>
      <c r="N9" s="49">
        <v>0.0</v>
      </c>
      <c r="O9" s="49">
        <v>4.0</v>
      </c>
      <c r="P9" s="49">
        <v>1.0</v>
      </c>
      <c r="Q9" s="46">
        <f t="shared" si="1"/>
        <v>42</v>
      </c>
      <c r="R9" s="47">
        <f t="shared" si="2"/>
        <v>0.04900816803</v>
      </c>
    </row>
    <row r="10">
      <c r="A10" s="50" t="s">
        <v>22</v>
      </c>
      <c r="B10" s="50" t="s">
        <v>21</v>
      </c>
      <c r="C10" s="51">
        <v>24.0</v>
      </c>
      <c r="D10" s="51">
        <v>22.0</v>
      </c>
      <c r="E10" s="51">
        <v>27.0</v>
      </c>
      <c r="F10" s="51">
        <v>21.0</v>
      </c>
      <c r="G10" s="51">
        <v>24.0</v>
      </c>
      <c r="H10" s="51">
        <v>34.0</v>
      </c>
      <c r="I10" s="51">
        <v>7.0</v>
      </c>
      <c r="J10" s="51">
        <v>14.0</v>
      </c>
      <c r="K10" s="51">
        <v>15.0</v>
      </c>
      <c r="L10" s="51">
        <v>17.0</v>
      </c>
      <c r="M10" s="51">
        <v>56.0</v>
      </c>
      <c r="N10" s="51">
        <v>59.0</v>
      </c>
      <c r="O10" s="51">
        <v>39.0</v>
      </c>
      <c r="P10" s="51">
        <v>34.0</v>
      </c>
      <c r="Q10" s="46">
        <f t="shared" si="1"/>
        <v>393</v>
      </c>
      <c r="R10" s="47">
        <f t="shared" si="2"/>
        <v>0.4585764294</v>
      </c>
    </row>
    <row r="11">
      <c r="A11" s="48" t="s">
        <v>22</v>
      </c>
      <c r="B11" s="48" t="s">
        <v>44</v>
      </c>
      <c r="C11" s="49">
        <v>1.0</v>
      </c>
      <c r="D11" s="49">
        <v>4.0</v>
      </c>
      <c r="E11" s="49">
        <v>4.0</v>
      </c>
      <c r="F11" s="49">
        <v>9.0</v>
      </c>
      <c r="G11" s="49">
        <v>4.0</v>
      </c>
      <c r="H11" s="49">
        <v>7.0</v>
      </c>
      <c r="I11" s="49">
        <v>3.0</v>
      </c>
      <c r="J11" s="49">
        <v>5.0</v>
      </c>
      <c r="K11" s="49">
        <v>4.0</v>
      </c>
      <c r="L11" s="49">
        <v>5.0</v>
      </c>
      <c r="M11" s="49">
        <v>3.0</v>
      </c>
      <c r="N11" s="49">
        <v>6.0</v>
      </c>
      <c r="O11" s="49">
        <v>3.0</v>
      </c>
      <c r="P11" s="49">
        <v>5.0</v>
      </c>
      <c r="Q11" s="46">
        <f t="shared" si="1"/>
        <v>63</v>
      </c>
      <c r="R11" s="47">
        <f t="shared" si="2"/>
        <v>0.07351225204</v>
      </c>
    </row>
    <row r="12">
      <c r="A12" s="50" t="s">
        <v>44</v>
      </c>
      <c r="B12" s="50" t="s">
        <v>22</v>
      </c>
      <c r="C12" s="51">
        <v>1.0</v>
      </c>
      <c r="D12" s="51">
        <v>2.0</v>
      </c>
      <c r="E12" s="51">
        <v>1.0</v>
      </c>
      <c r="F12" s="51">
        <v>1.0</v>
      </c>
      <c r="G12" s="51">
        <v>4.0</v>
      </c>
      <c r="H12" s="51">
        <v>4.0</v>
      </c>
      <c r="I12" s="51">
        <v>5.0</v>
      </c>
      <c r="J12" s="51">
        <v>2.0</v>
      </c>
      <c r="K12" s="51">
        <v>3.0</v>
      </c>
      <c r="L12" s="51">
        <v>3.0</v>
      </c>
      <c r="M12" s="51">
        <v>3.0</v>
      </c>
      <c r="N12" s="51">
        <v>3.0</v>
      </c>
      <c r="O12" s="51">
        <v>3.0</v>
      </c>
      <c r="P12" s="51">
        <v>0.0</v>
      </c>
      <c r="Q12" s="46">
        <f t="shared" si="1"/>
        <v>35</v>
      </c>
      <c r="R12" s="47">
        <f t="shared" si="2"/>
        <v>0.04084014002</v>
      </c>
    </row>
    <row r="13">
      <c r="A13" s="48" t="s">
        <v>44</v>
      </c>
      <c r="B13" s="48" t="s">
        <v>24</v>
      </c>
      <c r="C13" s="49">
        <v>4.0</v>
      </c>
      <c r="D13" s="49">
        <v>1.0</v>
      </c>
      <c r="E13" s="49">
        <v>3.0</v>
      </c>
      <c r="F13" s="49">
        <v>2.0</v>
      </c>
      <c r="G13" s="49">
        <v>3.0</v>
      </c>
      <c r="H13" s="49">
        <v>4.0</v>
      </c>
      <c r="I13" s="49">
        <v>1.0</v>
      </c>
      <c r="J13" s="49">
        <v>3.0</v>
      </c>
      <c r="K13" s="49">
        <v>2.0</v>
      </c>
      <c r="L13" s="49">
        <v>0.0</v>
      </c>
      <c r="M13" s="49">
        <v>2.0</v>
      </c>
      <c r="N13" s="49">
        <v>4.0</v>
      </c>
      <c r="O13" s="49">
        <v>0.0</v>
      </c>
      <c r="P13" s="49">
        <v>2.0</v>
      </c>
      <c r="Q13" s="46">
        <f t="shared" si="1"/>
        <v>31</v>
      </c>
      <c r="R13" s="47">
        <f t="shared" si="2"/>
        <v>0.03617269545</v>
      </c>
    </row>
    <row r="14">
      <c r="A14" s="50" t="s">
        <v>44</v>
      </c>
      <c r="B14" s="50" t="s">
        <v>21</v>
      </c>
      <c r="C14" s="51">
        <v>0.0</v>
      </c>
      <c r="D14" s="51">
        <v>0.0</v>
      </c>
      <c r="E14" s="51">
        <v>1.0</v>
      </c>
      <c r="F14" s="51">
        <v>2.0</v>
      </c>
      <c r="G14" s="51">
        <v>3.0</v>
      </c>
      <c r="H14" s="51">
        <v>2.0</v>
      </c>
      <c r="I14" s="51">
        <v>1.0</v>
      </c>
      <c r="J14" s="51">
        <v>3.0</v>
      </c>
      <c r="K14" s="51">
        <v>3.0</v>
      </c>
      <c r="L14" s="51">
        <v>1.0</v>
      </c>
      <c r="M14" s="51">
        <v>3.0</v>
      </c>
      <c r="N14" s="51">
        <v>6.0</v>
      </c>
      <c r="O14" s="51">
        <v>2.0</v>
      </c>
      <c r="P14" s="51">
        <v>1.0</v>
      </c>
      <c r="Q14" s="46">
        <f t="shared" si="1"/>
        <v>28</v>
      </c>
      <c r="R14" s="47">
        <f t="shared" si="2"/>
        <v>0.03267211202</v>
      </c>
    </row>
    <row r="15">
      <c r="A15" s="46" t="s">
        <v>45</v>
      </c>
      <c r="B15" s="46" t="s">
        <v>19</v>
      </c>
      <c r="C15" s="46">
        <f t="shared" ref="C15:Q15" si="3">SUM(C$3:C$14)</f>
        <v>49</v>
      </c>
      <c r="D15" s="46">
        <f t="shared" si="3"/>
        <v>66</v>
      </c>
      <c r="E15" s="46">
        <f t="shared" si="3"/>
        <v>66</v>
      </c>
      <c r="F15" s="46">
        <f t="shared" si="3"/>
        <v>53</v>
      </c>
      <c r="G15" s="46">
        <f t="shared" si="3"/>
        <v>55</v>
      </c>
      <c r="H15" s="46">
        <f t="shared" si="3"/>
        <v>69</v>
      </c>
      <c r="I15" s="46">
        <f t="shared" si="3"/>
        <v>56</v>
      </c>
      <c r="J15" s="46">
        <f t="shared" si="3"/>
        <v>35</v>
      </c>
      <c r="K15" s="46">
        <f t="shared" si="3"/>
        <v>51</v>
      </c>
      <c r="L15" s="46">
        <f t="shared" si="3"/>
        <v>49</v>
      </c>
      <c r="M15" s="46">
        <f t="shared" si="3"/>
        <v>88</v>
      </c>
      <c r="N15" s="46">
        <f t="shared" si="3"/>
        <v>103</v>
      </c>
      <c r="O15" s="46">
        <f t="shared" si="3"/>
        <v>65</v>
      </c>
      <c r="P15" s="46">
        <f t="shared" si="3"/>
        <v>52</v>
      </c>
      <c r="Q15" s="46">
        <f t="shared" si="3"/>
        <v>857</v>
      </c>
      <c r="R15" s="47"/>
    </row>
    <row r="16">
      <c r="A16" s="52">
        <f>Original!Q15/SUM(K15:O15)</f>
        <v>1.202247191</v>
      </c>
      <c r="B16" s="53" t="s">
        <v>25</v>
      </c>
      <c r="C16" s="53">
        <f t="shared" ref="C16:P16" si="4">C15/$Q$15</f>
        <v>0.05717619603</v>
      </c>
      <c r="D16" s="53">
        <f t="shared" si="4"/>
        <v>0.07701283547</v>
      </c>
      <c r="E16" s="53">
        <f t="shared" si="4"/>
        <v>0.07701283547</v>
      </c>
      <c r="F16" s="53">
        <f t="shared" si="4"/>
        <v>0.06184364061</v>
      </c>
      <c r="G16" s="53">
        <f t="shared" si="4"/>
        <v>0.06417736289</v>
      </c>
      <c r="H16" s="53">
        <f t="shared" si="4"/>
        <v>0.0805134189</v>
      </c>
      <c r="I16" s="53">
        <f t="shared" si="4"/>
        <v>0.06534422404</v>
      </c>
      <c r="J16" s="53">
        <f t="shared" si="4"/>
        <v>0.04084014002</v>
      </c>
      <c r="K16" s="53">
        <f t="shared" si="4"/>
        <v>0.05950991832</v>
      </c>
      <c r="L16" s="53">
        <f t="shared" si="4"/>
        <v>0.05717619603</v>
      </c>
      <c r="M16" s="53">
        <f t="shared" si="4"/>
        <v>0.1026837806</v>
      </c>
      <c r="N16" s="53">
        <f t="shared" si="4"/>
        <v>0.1201866978</v>
      </c>
      <c r="O16" s="53">
        <f t="shared" si="4"/>
        <v>0.07584597433</v>
      </c>
      <c r="P16" s="53">
        <f t="shared" si="4"/>
        <v>0.06067677946</v>
      </c>
      <c r="Q16" s="53">
        <f>SUM(C16:P16)</f>
        <v>1</v>
      </c>
      <c r="R16" s="47"/>
    </row>
    <row r="17">
      <c r="A17" s="54"/>
      <c r="B17" s="54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6"/>
    </row>
    <row r="18">
      <c r="A18" s="44" t="s">
        <v>26</v>
      </c>
    </row>
    <row r="19">
      <c r="A19" s="57"/>
      <c r="B19" s="45" t="s">
        <v>27</v>
      </c>
      <c r="C19" s="46">
        <v>6.0</v>
      </c>
      <c r="D19" s="46">
        <v>7.0</v>
      </c>
      <c r="E19" s="46">
        <v>8.0</v>
      </c>
      <c r="F19" s="46">
        <v>9.0</v>
      </c>
      <c r="G19" s="46">
        <v>10.0</v>
      </c>
      <c r="H19" s="46">
        <v>11.0</v>
      </c>
      <c r="I19" s="46">
        <v>12.0</v>
      </c>
      <c r="J19" s="46">
        <v>13.0</v>
      </c>
      <c r="K19" s="46">
        <v>14.0</v>
      </c>
      <c r="L19" s="46">
        <v>15.0</v>
      </c>
      <c r="M19" s="46">
        <v>16.0</v>
      </c>
      <c r="N19" s="46">
        <v>17.0</v>
      </c>
      <c r="O19" s="46">
        <v>18.0</v>
      </c>
      <c r="P19" s="46">
        <v>19.0</v>
      </c>
      <c r="Q19" s="46" t="s">
        <v>19</v>
      </c>
      <c r="R19" s="47" t="s">
        <v>20</v>
      </c>
    </row>
    <row r="20">
      <c r="A20" s="57"/>
      <c r="B20" s="58" t="s">
        <v>8</v>
      </c>
      <c r="C20" s="59">
        <v>3.0</v>
      </c>
      <c r="D20" s="59">
        <v>0.0</v>
      </c>
      <c r="E20" s="59">
        <v>2.0</v>
      </c>
      <c r="F20" s="59">
        <v>6.0</v>
      </c>
      <c r="G20" s="59">
        <v>3.0</v>
      </c>
      <c r="H20" s="59">
        <v>3.0</v>
      </c>
      <c r="I20" s="59">
        <v>1.0</v>
      </c>
      <c r="J20" s="59">
        <v>6.0</v>
      </c>
      <c r="K20" s="59">
        <v>6.0</v>
      </c>
      <c r="L20" s="59">
        <v>6.0</v>
      </c>
      <c r="M20" s="59">
        <v>0.0</v>
      </c>
      <c r="N20" s="59">
        <v>6.0</v>
      </c>
      <c r="O20" s="59">
        <v>5.0</v>
      </c>
      <c r="P20" s="59">
        <v>1.0</v>
      </c>
      <c r="Q20" s="46">
        <f t="shared" ref="Q20:Q26" si="5">SUM(C20:P20)</f>
        <v>48</v>
      </c>
      <c r="R20" s="47">
        <f t="shared" ref="R20:R26" si="6">Q20/$Q$15</f>
        <v>0.05600933489</v>
      </c>
    </row>
    <row r="21">
      <c r="A21" s="57"/>
      <c r="B21" s="60" t="s">
        <v>9</v>
      </c>
      <c r="C21" s="61">
        <v>4.0</v>
      </c>
      <c r="D21" s="61">
        <v>3.0</v>
      </c>
      <c r="E21" s="61">
        <v>0.0</v>
      </c>
      <c r="F21" s="61">
        <v>0.0</v>
      </c>
      <c r="G21" s="61">
        <v>0.0</v>
      </c>
      <c r="H21" s="61">
        <v>1.0</v>
      </c>
      <c r="I21" s="61">
        <v>4.0</v>
      </c>
      <c r="J21" s="61">
        <v>6.0</v>
      </c>
      <c r="K21" s="61">
        <v>5.0</v>
      </c>
      <c r="L21" s="61">
        <v>3.0</v>
      </c>
      <c r="M21" s="61">
        <v>3.0</v>
      </c>
      <c r="N21" s="61">
        <v>3.0</v>
      </c>
      <c r="O21" s="61">
        <v>1.0</v>
      </c>
      <c r="P21" s="61">
        <v>0.0</v>
      </c>
      <c r="Q21" s="46">
        <f t="shared" si="5"/>
        <v>33</v>
      </c>
      <c r="R21" s="47">
        <f t="shared" si="6"/>
        <v>0.03850641774</v>
      </c>
    </row>
    <row r="22">
      <c r="A22" s="57"/>
      <c r="B22" s="58" t="s">
        <v>10</v>
      </c>
      <c r="C22" s="59">
        <v>9.0</v>
      </c>
      <c r="D22" s="59">
        <v>4.0</v>
      </c>
      <c r="E22" s="59">
        <v>7.0</v>
      </c>
      <c r="F22" s="59">
        <v>9.0</v>
      </c>
      <c r="G22" s="59">
        <v>8.0</v>
      </c>
      <c r="H22" s="59">
        <v>7.0</v>
      </c>
      <c r="I22" s="59">
        <v>7.0</v>
      </c>
      <c r="J22" s="59">
        <v>5.0</v>
      </c>
      <c r="K22" s="59">
        <v>6.0</v>
      </c>
      <c r="L22" s="59">
        <v>3.0</v>
      </c>
      <c r="M22" s="59">
        <v>8.0</v>
      </c>
      <c r="N22" s="59">
        <v>14.0</v>
      </c>
      <c r="O22" s="59">
        <v>10.0</v>
      </c>
      <c r="P22" s="59">
        <v>15.0</v>
      </c>
      <c r="Q22" s="46">
        <f t="shared" si="5"/>
        <v>112</v>
      </c>
      <c r="R22" s="47">
        <f t="shared" si="6"/>
        <v>0.1306884481</v>
      </c>
    </row>
    <row r="23">
      <c r="A23" s="57"/>
      <c r="B23" s="60" t="s">
        <v>29</v>
      </c>
      <c r="C23" s="61">
        <v>1.0</v>
      </c>
      <c r="D23" s="61">
        <v>0.0</v>
      </c>
      <c r="E23" s="61">
        <v>1.0</v>
      </c>
      <c r="F23" s="61">
        <v>1.0</v>
      </c>
      <c r="G23" s="61">
        <v>0.0</v>
      </c>
      <c r="H23" s="61">
        <v>1.0</v>
      </c>
      <c r="I23" s="61">
        <v>0.0</v>
      </c>
      <c r="J23" s="61">
        <v>0.0</v>
      </c>
      <c r="K23" s="61">
        <v>0.0</v>
      </c>
      <c r="L23" s="61">
        <v>1.0</v>
      </c>
      <c r="M23" s="61">
        <v>0.0</v>
      </c>
      <c r="N23" s="61">
        <v>0.0</v>
      </c>
      <c r="O23" s="61">
        <v>0.0</v>
      </c>
      <c r="P23" s="61">
        <v>0.0</v>
      </c>
      <c r="Q23" s="46">
        <f t="shared" si="5"/>
        <v>5</v>
      </c>
      <c r="R23" s="47">
        <f t="shared" si="6"/>
        <v>0.005834305718</v>
      </c>
    </row>
    <row r="24">
      <c r="A24" s="57"/>
      <c r="B24" s="58" t="s">
        <v>30</v>
      </c>
      <c r="C24" s="59">
        <v>1.0</v>
      </c>
      <c r="D24" s="59">
        <v>0.0</v>
      </c>
      <c r="E24" s="59">
        <v>2.0</v>
      </c>
      <c r="F24" s="59">
        <v>0.0</v>
      </c>
      <c r="G24" s="59">
        <v>1.0</v>
      </c>
      <c r="H24" s="59">
        <v>0.0</v>
      </c>
      <c r="I24" s="59">
        <v>0.0</v>
      </c>
      <c r="J24" s="59">
        <v>0.0</v>
      </c>
      <c r="K24" s="59">
        <v>0.0</v>
      </c>
      <c r="L24" s="59">
        <v>0.0</v>
      </c>
      <c r="M24" s="59">
        <v>1.0</v>
      </c>
      <c r="N24" s="59">
        <v>0.0</v>
      </c>
      <c r="O24" s="59">
        <v>0.0</v>
      </c>
      <c r="P24" s="59">
        <v>0.0</v>
      </c>
      <c r="Q24" s="46">
        <f t="shared" si="5"/>
        <v>5</v>
      </c>
      <c r="R24" s="47">
        <f t="shared" si="6"/>
        <v>0.005834305718</v>
      </c>
    </row>
    <row r="25">
      <c r="A25" s="57"/>
      <c r="B25" s="60" t="s">
        <v>31</v>
      </c>
      <c r="C25" s="61">
        <v>0.0</v>
      </c>
      <c r="D25" s="61">
        <v>0.0</v>
      </c>
      <c r="E25" s="61">
        <v>1.0</v>
      </c>
      <c r="F25" s="61">
        <v>0.0</v>
      </c>
      <c r="G25" s="61">
        <v>0.0</v>
      </c>
      <c r="H25" s="61">
        <v>0.0</v>
      </c>
      <c r="I25" s="61">
        <v>0.0</v>
      </c>
      <c r="J25" s="61">
        <v>1.0</v>
      </c>
      <c r="K25" s="61">
        <v>0.0</v>
      </c>
      <c r="L25" s="61">
        <v>0.0</v>
      </c>
      <c r="M25" s="61">
        <v>0.0</v>
      </c>
      <c r="N25" s="61">
        <v>0.0</v>
      </c>
      <c r="O25" s="61">
        <v>1.0</v>
      </c>
      <c r="P25" s="61">
        <v>0.0</v>
      </c>
      <c r="Q25" s="46">
        <f t="shared" si="5"/>
        <v>3</v>
      </c>
      <c r="R25" s="47">
        <f t="shared" si="6"/>
        <v>0.003500583431</v>
      </c>
    </row>
    <row r="26">
      <c r="A26" s="57"/>
      <c r="B26" s="58" t="s">
        <v>32</v>
      </c>
      <c r="C26" s="59">
        <v>2.0</v>
      </c>
      <c r="D26" s="59">
        <v>3.0</v>
      </c>
      <c r="E26" s="59">
        <v>7.0</v>
      </c>
      <c r="F26" s="59">
        <v>6.0</v>
      </c>
      <c r="G26" s="59">
        <v>5.0</v>
      </c>
      <c r="H26" s="59">
        <v>14.0</v>
      </c>
      <c r="I26" s="59">
        <v>13.0</v>
      </c>
      <c r="J26" s="59">
        <v>3.0</v>
      </c>
      <c r="K26" s="59">
        <v>8.0</v>
      </c>
      <c r="L26" s="59">
        <v>12.0</v>
      </c>
      <c r="M26" s="59">
        <v>12.0</v>
      </c>
      <c r="N26" s="59">
        <v>6.0</v>
      </c>
      <c r="O26" s="59">
        <v>5.0</v>
      </c>
      <c r="P26" s="59">
        <v>2.0</v>
      </c>
      <c r="Q26" s="46">
        <f t="shared" si="5"/>
        <v>98</v>
      </c>
      <c r="R26" s="47">
        <f t="shared" si="6"/>
        <v>0.1143523921</v>
      </c>
    </row>
    <row r="27">
      <c r="A27" s="57"/>
      <c r="B27" s="50" t="s">
        <v>33</v>
      </c>
      <c r="C27" s="61">
        <v>3.0</v>
      </c>
      <c r="D27" s="61">
        <v>1.0</v>
      </c>
      <c r="E27" s="61">
        <v>4.0</v>
      </c>
      <c r="F27" s="61">
        <v>5.0</v>
      </c>
      <c r="G27" s="61">
        <v>2.0</v>
      </c>
      <c r="H27" s="61">
        <v>4.0</v>
      </c>
      <c r="I27" s="61">
        <v>0.0</v>
      </c>
      <c r="J27" s="61">
        <v>0.0</v>
      </c>
      <c r="K27" s="61">
        <v>1.0</v>
      </c>
      <c r="L27" s="61">
        <v>0.0</v>
      </c>
      <c r="M27" s="61">
        <v>0.0</v>
      </c>
      <c r="N27" s="61">
        <v>9.0</v>
      </c>
      <c r="O27" s="61">
        <v>2.0</v>
      </c>
      <c r="P27" s="61">
        <v>1.0</v>
      </c>
      <c r="Q27" s="46"/>
      <c r="R27" s="47"/>
    </row>
    <row r="28">
      <c r="A28" s="57"/>
      <c r="B28" s="58" t="s">
        <v>13</v>
      </c>
      <c r="C28" s="59">
        <v>0.0</v>
      </c>
      <c r="D28" s="59">
        <v>2.0</v>
      </c>
      <c r="E28" s="59">
        <v>7.0</v>
      </c>
      <c r="F28" s="59">
        <v>5.0</v>
      </c>
      <c r="G28" s="59">
        <v>8.0</v>
      </c>
      <c r="H28" s="59">
        <v>19.0</v>
      </c>
      <c r="I28" s="59">
        <v>12.0</v>
      </c>
      <c r="J28" s="59">
        <v>3.0</v>
      </c>
      <c r="K28" s="59">
        <v>10.0</v>
      </c>
      <c r="L28" s="59">
        <v>10.0</v>
      </c>
      <c r="M28" s="59">
        <v>11.0</v>
      </c>
      <c r="N28" s="59">
        <v>6.0</v>
      </c>
      <c r="O28" s="59">
        <v>3.0</v>
      </c>
      <c r="P28" s="59">
        <v>1.0</v>
      </c>
      <c r="Q28" s="46">
        <f t="shared" ref="Q28:Q31" si="7">SUM(C28:P28)</f>
        <v>97</v>
      </c>
      <c r="R28" s="47">
        <f t="shared" ref="R28:R31" si="8">Q28/$Q$15</f>
        <v>0.1131855309</v>
      </c>
    </row>
    <row r="29">
      <c r="A29" s="57"/>
      <c r="B29" s="60" t="s">
        <v>35</v>
      </c>
      <c r="C29" s="61">
        <v>2.0</v>
      </c>
      <c r="D29" s="61">
        <v>6.0</v>
      </c>
      <c r="E29" s="61">
        <v>12.0</v>
      </c>
      <c r="F29" s="61">
        <v>8.0</v>
      </c>
      <c r="G29" s="61">
        <v>15.0</v>
      </c>
      <c r="H29" s="61">
        <v>13.0</v>
      </c>
      <c r="I29" s="61">
        <v>10.0</v>
      </c>
      <c r="J29" s="61">
        <v>5.0</v>
      </c>
      <c r="K29" s="61">
        <v>10.0</v>
      </c>
      <c r="L29" s="61">
        <v>4.0</v>
      </c>
      <c r="M29" s="61">
        <v>11.0</v>
      </c>
      <c r="N29" s="61">
        <v>14.0</v>
      </c>
      <c r="O29" s="61">
        <v>10.0</v>
      </c>
      <c r="P29" s="61">
        <v>4.0</v>
      </c>
      <c r="Q29" s="46">
        <f t="shared" si="7"/>
        <v>124</v>
      </c>
      <c r="R29" s="47">
        <f t="shared" si="8"/>
        <v>0.1446907818</v>
      </c>
    </row>
    <row r="30">
      <c r="A30" s="57"/>
      <c r="B30" s="58" t="s">
        <v>36</v>
      </c>
      <c r="C30" s="59">
        <v>0.0</v>
      </c>
      <c r="D30" s="59">
        <v>0.0</v>
      </c>
      <c r="E30" s="59">
        <v>0.0</v>
      </c>
      <c r="F30" s="59">
        <v>0.0</v>
      </c>
      <c r="G30" s="59">
        <v>0.0</v>
      </c>
      <c r="H30" s="59">
        <v>0.0</v>
      </c>
      <c r="I30" s="59">
        <v>0.0</v>
      </c>
      <c r="J30" s="59">
        <v>0.0</v>
      </c>
      <c r="K30" s="59">
        <v>0.0</v>
      </c>
      <c r="L30" s="59">
        <v>0.0</v>
      </c>
      <c r="M30" s="59">
        <v>0.0</v>
      </c>
      <c r="N30" s="59">
        <v>0.0</v>
      </c>
      <c r="O30" s="59">
        <v>0.0</v>
      </c>
      <c r="P30" s="59">
        <v>0.0</v>
      </c>
      <c r="Q30" s="46">
        <f t="shared" si="7"/>
        <v>0</v>
      </c>
      <c r="R30" s="47">
        <f t="shared" si="8"/>
        <v>0</v>
      </c>
    </row>
    <row r="31">
      <c r="A31" s="57"/>
      <c r="B31" s="60" t="s">
        <v>15</v>
      </c>
      <c r="C31" s="61">
        <v>3.0</v>
      </c>
      <c r="D31" s="61">
        <v>9.0</v>
      </c>
      <c r="E31" s="61">
        <v>7.0</v>
      </c>
      <c r="F31" s="61">
        <v>12.0</v>
      </c>
      <c r="G31" s="61">
        <v>13.0</v>
      </c>
      <c r="H31" s="61">
        <v>12.0</v>
      </c>
      <c r="I31" s="61">
        <v>8.0</v>
      </c>
      <c r="J31" s="61">
        <v>7.0</v>
      </c>
      <c r="K31" s="61">
        <v>14.0</v>
      </c>
      <c r="L31" s="61">
        <v>11.0</v>
      </c>
      <c r="M31" s="61">
        <v>7.0</v>
      </c>
      <c r="N31" s="61">
        <v>7.0</v>
      </c>
      <c r="O31" s="61">
        <v>7.0</v>
      </c>
      <c r="P31" s="61">
        <v>3.0</v>
      </c>
      <c r="Q31" s="46">
        <f t="shared" si="7"/>
        <v>120</v>
      </c>
      <c r="R31" s="47">
        <f t="shared" si="8"/>
        <v>0.1400233372</v>
      </c>
    </row>
    <row r="32">
      <c r="A32" s="62"/>
      <c r="B32" s="62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4"/>
    </row>
    <row r="33">
      <c r="A33" s="44" t="s">
        <v>28</v>
      </c>
    </row>
    <row r="34">
      <c r="A34" s="57"/>
      <c r="B34" s="45" t="s">
        <v>27</v>
      </c>
      <c r="C34" s="46">
        <v>6.0</v>
      </c>
      <c r="D34" s="46">
        <v>7.0</v>
      </c>
      <c r="E34" s="46">
        <v>8.0</v>
      </c>
      <c r="F34" s="46">
        <v>9.0</v>
      </c>
      <c r="G34" s="46">
        <v>10.0</v>
      </c>
      <c r="H34" s="46">
        <v>11.0</v>
      </c>
      <c r="I34" s="46">
        <v>12.0</v>
      </c>
      <c r="J34" s="46">
        <v>13.0</v>
      </c>
      <c r="K34" s="46">
        <v>14.0</v>
      </c>
      <c r="L34" s="46">
        <v>15.0</v>
      </c>
      <c r="M34" s="46">
        <v>16.0</v>
      </c>
      <c r="N34" s="46">
        <v>17.0</v>
      </c>
      <c r="O34" s="46">
        <v>18.0</v>
      </c>
      <c r="P34" s="46">
        <v>19.0</v>
      </c>
      <c r="Q34" s="46" t="s">
        <v>19</v>
      </c>
      <c r="R34" s="47" t="s">
        <v>20</v>
      </c>
    </row>
    <row r="35">
      <c r="A35" s="57"/>
      <c r="B35" s="48" t="s">
        <v>37</v>
      </c>
      <c r="C35" s="59">
        <v>0.0</v>
      </c>
      <c r="D35" s="59">
        <v>0.0</v>
      </c>
      <c r="E35" s="59">
        <v>0.0</v>
      </c>
      <c r="F35" s="59">
        <v>0.0</v>
      </c>
      <c r="G35" s="59">
        <v>0.0</v>
      </c>
      <c r="H35" s="59">
        <v>0.0</v>
      </c>
      <c r="I35" s="59">
        <v>0.0</v>
      </c>
      <c r="J35" s="59">
        <v>0.0</v>
      </c>
      <c r="K35" s="59">
        <v>1.0</v>
      </c>
      <c r="L35" s="59">
        <v>0.0</v>
      </c>
      <c r="M35" s="59">
        <v>2.0</v>
      </c>
      <c r="N35" s="59">
        <v>0.0</v>
      </c>
      <c r="O35" s="59">
        <v>2.0</v>
      </c>
      <c r="P35" s="59">
        <v>1.0</v>
      </c>
      <c r="Q35" s="46">
        <f t="shared" ref="Q35:Q39" si="9">SUM(C35:P35)</f>
        <v>6</v>
      </c>
      <c r="R35" s="47">
        <f t="shared" ref="R35:R39" si="10">Q35/$Q$15</f>
        <v>0.007001166861</v>
      </c>
    </row>
    <row r="36">
      <c r="A36" s="57"/>
      <c r="B36" s="50" t="s">
        <v>38</v>
      </c>
      <c r="C36" s="61">
        <v>0.0</v>
      </c>
      <c r="D36" s="61">
        <v>0.0</v>
      </c>
      <c r="E36" s="61">
        <v>0.0</v>
      </c>
      <c r="F36" s="61">
        <v>0.0</v>
      </c>
      <c r="G36" s="61">
        <v>0.0</v>
      </c>
      <c r="H36" s="61">
        <v>0.0</v>
      </c>
      <c r="I36" s="61">
        <v>0.0</v>
      </c>
      <c r="J36" s="61">
        <v>0.0</v>
      </c>
      <c r="K36" s="61">
        <v>0.0</v>
      </c>
      <c r="L36" s="61">
        <v>0.0</v>
      </c>
      <c r="M36" s="61">
        <v>2.0</v>
      </c>
      <c r="N36" s="61">
        <v>1.0</v>
      </c>
      <c r="O36" s="61">
        <v>0.0</v>
      </c>
      <c r="P36" s="61">
        <v>0.0</v>
      </c>
      <c r="Q36" s="46">
        <f t="shared" si="9"/>
        <v>3</v>
      </c>
      <c r="R36" s="47">
        <f t="shared" si="10"/>
        <v>0.003500583431</v>
      </c>
    </row>
    <row r="37">
      <c r="A37" s="57"/>
      <c r="B37" s="48" t="s">
        <v>39</v>
      </c>
      <c r="C37" s="59">
        <v>0.0</v>
      </c>
      <c r="D37" s="59">
        <v>1.0</v>
      </c>
      <c r="E37" s="59">
        <v>0.0</v>
      </c>
      <c r="F37" s="59">
        <v>0.0</v>
      </c>
      <c r="G37" s="59">
        <v>0.0</v>
      </c>
      <c r="H37" s="59">
        <v>1.0</v>
      </c>
      <c r="I37" s="59">
        <v>0.0</v>
      </c>
      <c r="J37" s="59">
        <v>0.0</v>
      </c>
      <c r="K37" s="59">
        <v>0.0</v>
      </c>
      <c r="L37" s="59">
        <v>0.0</v>
      </c>
      <c r="M37" s="59">
        <v>2.0</v>
      </c>
      <c r="N37" s="59">
        <v>0.0</v>
      </c>
      <c r="O37" s="59">
        <v>0.0</v>
      </c>
      <c r="P37" s="59">
        <v>0.0</v>
      </c>
      <c r="Q37" s="46">
        <f t="shared" si="9"/>
        <v>4</v>
      </c>
      <c r="R37" s="47">
        <f t="shared" si="10"/>
        <v>0.004667444574</v>
      </c>
    </row>
    <row r="38">
      <c r="A38" s="57"/>
      <c r="B38" s="50" t="s">
        <v>40</v>
      </c>
      <c r="C38" s="61">
        <v>0.0</v>
      </c>
      <c r="D38" s="61">
        <v>0.0</v>
      </c>
      <c r="E38" s="61">
        <v>0.0</v>
      </c>
      <c r="F38" s="61">
        <v>0.0</v>
      </c>
      <c r="G38" s="61">
        <v>3.0</v>
      </c>
      <c r="H38" s="61">
        <v>0.0</v>
      </c>
      <c r="I38" s="61">
        <v>0.0</v>
      </c>
      <c r="J38" s="61">
        <v>0.0</v>
      </c>
      <c r="K38" s="61">
        <v>1.0</v>
      </c>
      <c r="L38" s="61">
        <v>0.0</v>
      </c>
      <c r="M38" s="61">
        <v>0.0</v>
      </c>
      <c r="N38" s="61">
        <v>0.0</v>
      </c>
      <c r="O38" s="61">
        <v>0.0</v>
      </c>
      <c r="P38" s="61">
        <v>0.0</v>
      </c>
      <c r="Q38" s="46">
        <f t="shared" si="9"/>
        <v>4</v>
      </c>
      <c r="R38" s="47">
        <f t="shared" si="10"/>
        <v>0.004667444574</v>
      </c>
    </row>
    <row r="39">
      <c r="A39" s="57"/>
      <c r="B39" s="48" t="s">
        <v>41</v>
      </c>
      <c r="C39" s="59">
        <v>0.0</v>
      </c>
      <c r="D39" s="59">
        <v>0.0</v>
      </c>
      <c r="E39" s="59">
        <v>0.0</v>
      </c>
      <c r="F39" s="59">
        <v>0.0</v>
      </c>
      <c r="G39" s="59">
        <v>0.0</v>
      </c>
      <c r="H39" s="59">
        <v>0.0</v>
      </c>
      <c r="I39" s="59">
        <v>0.0</v>
      </c>
      <c r="J39" s="59">
        <v>0.0</v>
      </c>
      <c r="K39" s="59">
        <v>0.0</v>
      </c>
      <c r="L39" s="59">
        <v>0.0</v>
      </c>
      <c r="M39" s="59">
        <v>0.0</v>
      </c>
      <c r="N39" s="59">
        <v>0.0</v>
      </c>
      <c r="O39" s="59">
        <v>0.0</v>
      </c>
      <c r="P39" s="59">
        <v>0.0</v>
      </c>
      <c r="Q39" s="46">
        <f t="shared" si="9"/>
        <v>0</v>
      </c>
      <c r="R39" s="47">
        <f t="shared" si="10"/>
        <v>0</v>
      </c>
    </row>
    <row r="45">
      <c r="C45">
        <f t="shared" ref="C45:P45" si="11">C34</f>
        <v>6</v>
      </c>
      <c r="D45">
        <f t="shared" si="11"/>
        <v>7</v>
      </c>
      <c r="E45">
        <f t="shared" si="11"/>
        <v>8</v>
      </c>
      <c r="F45">
        <f t="shared" si="11"/>
        <v>9</v>
      </c>
      <c r="G45">
        <f t="shared" si="11"/>
        <v>10</v>
      </c>
      <c r="H45">
        <f t="shared" si="11"/>
        <v>11</v>
      </c>
      <c r="I45">
        <f t="shared" si="11"/>
        <v>12</v>
      </c>
      <c r="J45">
        <f t="shared" si="11"/>
        <v>13</v>
      </c>
      <c r="K45">
        <f t="shared" si="11"/>
        <v>14</v>
      </c>
      <c r="L45">
        <f t="shared" si="11"/>
        <v>15</v>
      </c>
      <c r="M45">
        <f t="shared" si="11"/>
        <v>16</v>
      </c>
      <c r="N45">
        <f t="shared" si="11"/>
        <v>17</v>
      </c>
      <c r="O45">
        <f t="shared" si="11"/>
        <v>18</v>
      </c>
      <c r="P45">
        <f t="shared" si="11"/>
        <v>19</v>
      </c>
    </row>
    <row r="46">
      <c r="C46">
        <f t="shared" ref="C46:P46" si="12">C15</f>
        <v>49</v>
      </c>
      <c r="D46">
        <f t="shared" si="12"/>
        <v>66</v>
      </c>
      <c r="E46">
        <f t="shared" si="12"/>
        <v>66</v>
      </c>
      <c r="F46">
        <f t="shared" si="12"/>
        <v>53</v>
      </c>
      <c r="G46">
        <f t="shared" si="12"/>
        <v>55</v>
      </c>
      <c r="H46">
        <f t="shared" si="12"/>
        <v>69</v>
      </c>
      <c r="I46">
        <f t="shared" si="12"/>
        <v>56</v>
      </c>
      <c r="J46">
        <f t="shared" si="12"/>
        <v>35</v>
      </c>
      <c r="K46">
        <f t="shared" si="12"/>
        <v>51</v>
      </c>
      <c r="L46">
        <f t="shared" si="12"/>
        <v>49</v>
      </c>
      <c r="M46">
        <f t="shared" si="12"/>
        <v>88</v>
      </c>
      <c r="N46">
        <f t="shared" si="12"/>
        <v>103</v>
      </c>
      <c r="O46">
        <f t="shared" si="12"/>
        <v>65</v>
      </c>
      <c r="P46">
        <f t="shared" si="12"/>
        <v>52</v>
      </c>
    </row>
    <row r="47">
      <c r="K47">
        <f>Original!K15</f>
        <v>60</v>
      </c>
      <c r="L47">
        <f>Original!L15</f>
        <v>66</v>
      </c>
      <c r="M47">
        <f>Original!M15</f>
        <v>96</v>
      </c>
      <c r="N47">
        <f>Original!N15</f>
        <v>117</v>
      </c>
      <c r="O47">
        <f>Original!O15</f>
        <v>89</v>
      </c>
    </row>
  </sheetData>
  <mergeCells count="3">
    <mergeCell ref="A1:R1"/>
    <mergeCell ref="A18:R18"/>
    <mergeCell ref="A33:R33"/>
  </mergeCells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65" t="str">
        <f>Fluxo!A2</f>
        <v>TOTAL</v>
      </c>
      <c r="F1" s="65">
        <v>2.0</v>
      </c>
      <c r="G1" t="str">
        <f t="array" ref="G1:G18">TRANSPOSE(Dados!2:2)</f>
        <v>ORIGEM</v>
      </c>
    </row>
    <row r="2">
      <c r="F2" s="65">
        <v>3.0</v>
      </c>
      <c r="G2" t="s">
        <v>18</v>
      </c>
    </row>
    <row r="3">
      <c r="A3" t="str">
        <f>Dados!A3</f>
        <v>Jaqueira</v>
      </c>
      <c r="B3" t="str">
        <f>Dados!B3</f>
        <v>Graças</v>
      </c>
      <c r="F3" s="65">
        <v>4.0</v>
      </c>
      <c r="G3">
        <v>6.0</v>
      </c>
      <c r="Q3">
        <f>HLOOKUP($A$1,Dados!$C$2:$R$14,F1,0)</f>
        <v>15</v>
      </c>
    </row>
    <row r="4">
      <c r="A4" t="str">
        <f>Dados!A4</f>
        <v>Jaqueira</v>
      </c>
      <c r="B4" t="str">
        <f>Dados!B4</f>
        <v>Aflitos</v>
      </c>
      <c r="F4" s="65">
        <v>5.0</v>
      </c>
      <c r="G4">
        <v>7.0</v>
      </c>
      <c r="Q4">
        <f>HLOOKUP($A$1,Dados!$C$2:$R$14,F2,0)</f>
        <v>19</v>
      </c>
    </row>
    <row r="5">
      <c r="A5" t="str">
        <f>Dados!A5</f>
        <v>Jaqueira</v>
      </c>
      <c r="B5" t="str">
        <f>Dados!B5</f>
        <v>Rosarinho</v>
      </c>
      <c r="F5" s="65">
        <v>6.0</v>
      </c>
      <c r="G5">
        <v>8.0</v>
      </c>
      <c r="Q5">
        <f>HLOOKUP($A$1,Dados!$C$2:$R$14,F3,0)</f>
        <v>5</v>
      </c>
    </row>
    <row r="6">
      <c r="A6" t="str">
        <f>Dados!A6</f>
        <v>Rosarinho</v>
      </c>
      <c r="B6" t="str">
        <f>Dados!B6</f>
        <v>Jaqueira</v>
      </c>
      <c r="F6" s="65">
        <v>7.0</v>
      </c>
      <c r="G6">
        <v>9.0</v>
      </c>
      <c r="Q6">
        <f>HLOOKUP($A$1,Dados!$C$2:$R$14,F4,0)</f>
        <v>27</v>
      </c>
    </row>
    <row r="7">
      <c r="A7" t="str">
        <f>Dados!A7</f>
        <v>Rosarinho</v>
      </c>
      <c r="B7" t="str">
        <f>Dados!B7</f>
        <v>Graças</v>
      </c>
      <c r="F7" s="65">
        <v>8.0</v>
      </c>
      <c r="G7">
        <v>10.0</v>
      </c>
      <c r="Q7">
        <f>HLOOKUP($A$1,Dados!$C$2:$R$14,F5,0)</f>
        <v>169</v>
      </c>
    </row>
    <row r="8">
      <c r="A8" t="str">
        <f>Dados!A8</f>
        <v>Rosarinho</v>
      </c>
      <c r="B8" t="str">
        <f>Dados!B8</f>
        <v>Aflitos</v>
      </c>
      <c r="F8" s="65">
        <v>9.0</v>
      </c>
      <c r="G8">
        <v>11.0</v>
      </c>
      <c r="Q8">
        <f>HLOOKUP($A$1,Dados!$C$2:$R$14,F6,0)</f>
        <v>40</v>
      </c>
    </row>
    <row r="9">
      <c r="A9" t="str">
        <f>Dados!A9</f>
        <v>Graças</v>
      </c>
      <c r="B9" t="str">
        <f>Dados!B9</f>
        <v>Aflitos</v>
      </c>
      <c r="F9" s="65">
        <v>10.0</v>
      </c>
      <c r="G9">
        <v>12.0</v>
      </c>
      <c r="Q9">
        <f>HLOOKUP($A$1,Dados!$C$2:$R$14,F7,0)</f>
        <v>46</v>
      </c>
    </row>
    <row r="10">
      <c r="A10" t="str">
        <f>Dados!A10</f>
        <v>Graças</v>
      </c>
      <c r="B10" t="str">
        <f>Dados!B10</f>
        <v>Rosarinho</v>
      </c>
      <c r="F10" s="65">
        <v>11.0</v>
      </c>
      <c r="G10">
        <v>13.0</v>
      </c>
      <c r="Q10">
        <f>HLOOKUP($A$1,Dados!$C$2:$R$14,F8,0)</f>
        <v>256</v>
      </c>
    </row>
    <row r="11">
      <c r="A11" t="str">
        <f>Dados!A11</f>
        <v>Graças</v>
      </c>
      <c r="B11" t="str">
        <f>Dados!B11</f>
        <v>Jaqueira</v>
      </c>
      <c r="F11" s="65">
        <v>12.0</v>
      </c>
      <c r="G11">
        <v>14.0</v>
      </c>
      <c r="Q11">
        <f>HLOOKUP($A$1,Dados!$C$2:$R$14,F9,0)</f>
        <v>66</v>
      </c>
    </row>
    <row r="12">
      <c r="A12" t="str">
        <f>Dados!A12</f>
        <v>Aflitos</v>
      </c>
      <c r="B12" t="str">
        <f>Dados!B12</f>
        <v>Rosarinho</v>
      </c>
      <c r="F12" s="65">
        <v>13.0</v>
      </c>
      <c r="G12">
        <v>15.0</v>
      </c>
      <c r="Q12">
        <f>HLOOKUP($A$1,Dados!$C$2:$R$14,F10,0)</f>
        <v>28</v>
      </c>
    </row>
    <row r="13">
      <c r="A13" t="str">
        <f>Dados!A13</f>
        <v>Aflitos</v>
      </c>
      <c r="B13" t="str">
        <f>Dados!B13</f>
        <v>Jaqueira</v>
      </c>
      <c r="G13">
        <v>16.0</v>
      </c>
      <c r="Q13">
        <f>HLOOKUP($A$1,Dados!$C$2:$R$14,F11,0)</f>
        <v>307</v>
      </c>
    </row>
    <row r="14">
      <c r="A14" t="str">
        <f>Dados!A14</f>
        <v>Aflitos</v>
      </c>
      <c r="B14" t="str">
        <f>Dados!B14</f>
        <v>Graças</v>
      </c>
      <c r="G14">
        <v>17.0</v>
      </c>
      <c r="Q14">
        <f>HLOOKUP($A$1,Dados!$C$2:$R$14,F12,0)</f>
        <v>46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66" t="s">
        <v>20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67" t="s">
        <v>46</v>
      </c>
    </row>
    <row r="2">
      <c r="A2" s="68" t="s">
        <v>47</v>
      </c>
      <c r="B2" s="69">
        <f>Dados!C2</f>
        <v>6</v>
      </c>
      <c r="C2" s="69">
        <f>Dados!D2</f>
        <v>7</v>
      </c>
      <c r="D2" s="69">
        <f>Dados!E2</f>
        <v>8</v>
      </c>
      <c r="E2" s="69">
        <f>Dados!F2</f>
        <v>9</v>
      </c>
      <c r="F2" s="69">
        <f>Dados!G2</f>
        <v>10</v>
      </c>
      <c r="G2" s="69">
        <f>Dados!H2</f>
        <v>11</v>
      </c>
      <c r="H2" s="69">
        <f>Dados!I2</f>
        <v>12</v>
      </c>
      <c r="I2" s="69">
        <f>Dados!J2</f>
        <v>13</v>
      </c>
      <c r="J2" s="69">
        <f>Dados!K2</f>
        <v>14</v>
      </c>
      <c r="K2" s="69">
        <f>Dados!L2</f>
        <v>15</v>
      </c>
      <c r="L2" s="69">
        <f>Dados!M2</f>
        <v>16</v>
      </c>
      <c r="M2" s="69">
        <f>Dados!N2</f>
        <v>17</v>
      </c>
      <c r="N2" s="69">
        <f>Dados!O2</f>
        <v>18</v>
      </c>
      <c r="O2" s="69">
        <f>Dados!P2</f>
        <v>19</v>
      </c>
    </row>
    <row r="3">
      <c r="A3" s="70" t="s">
        <v>48</v>
      </c>
      <c r="B3" s="71">
        <f>Dados!C15-B4-B5</f>
        <v>50</v>
      </c>
      <c r="C3" s="71">
        <f>Dados!D15-C4-C5</f>
        <v>74</v>
      </c>
      <c r="D3" s="71">
        <f>Dados!E15-D4-D5</f>
        <v>77</v>
      </c>
      <c r="E3" s="71">
        <f>Dados!F15-E4-E5</f>
        <v>55</v>
      </c>
      <c r="F3" s="71">
        <f>Dados!G15-F4-F5</f>
        <v>62</v>
      </c>
      <c r="G3" s="71">
        <f>Dados!H15-G4-G5</f>
        <v>77</v>
      </c>
      <c r="H3" s="71">
        <f>Dados!I15-H4-H5</f>
        <v>60</v>
      </c>
      <c r="I3" s="71">
        <f>Dados!J15-I4-I5</f>
        <v>29</v>
      </c>
      <c r="J3" s="71">
        <f>Dados!K15-J4-J5</f>
        <v>58</v>
      </c>
      <c r="K3" s="71">
        <f>Dados!L15-K4-K5</f>
        <v>58</v>
      </c>
      <c r="L3" s="71">
        <f>Dados!M15-L4-L5</f>
        <v>90</v>
      </c>
      <c r="M3" s="71">
        <f>Dados!N15-M4-M5</f>
        <v>108</v>
      </c>
      <c r="N3" s="71">
        <f>Dados!O15-N4-N5</f>
        <v>79</v>
      </c>
      <c r="O3" s="71">
        <f>Dados!P15-O4-O5</f>
        <v>60</v>
      </c>
    </row>
    <row r="4">
      <c r="A4" s="68" t="s">
        <v>49</v>
      </c>
      <c r="B4" s="69">
        <f>Dados!C20</f>
        <v>4</v>
      </c>
      <c r="C4" s="69">
        <f>Dados!D20</f>
        <v>0</v>
      </c>
      <c r="D4" s="69">
        <f>Dados!E20</f>
        <v>2</v>
      </c>
      <c r="E4" s="69">
        <f>Dados!F20</f>
        <v>7</v>
      </c>
      <c r="F4" s="69">
        <f>Dados!G20</f>
        <v>4</v>
      </c>
      <c r="G4" s="69">
        <f>Dados!H20</f>
        <v>4</v>
      </c>
      <c r="H4" s="69">
        <f>Dados!I20</f>
        <v>1</v>
      </c>
      <c r="I4" s="69">
        <f>Dados!J20</f>
        <v>7</v>
      </c>
      <c r="J4" s="69">
        <f>Dados!K20</f>
        <v>2</v>
      </c>
      <c r="K4" s="69">
        <f>Dados!L20</f>
        <v>7</v>
      </c>
      <c r="L4" s="69">
        <f>Dados!M20</f>
        <v>6</v>
      </c>
      <c r="M4" s="69">
        <f>Dados!N20</f>
        <v>9</v>
      </c>
      <c r="N4" s="69">
        <f>Dados!O20</f>
        <v>10</v>
      </c>
      <c r="O4" s="69">
        <f>Dados!P20</f>
        <v>1</v>
      </c>
    </row>
    <row r="5">
      <c r="A5" s="70" t="s">
        <v>9</v>
      </c>
      <c r="B5" s="71">
        <f>Dados!C21</f>
        <v>5</v>
      </c>
      <c r="C5" s="71">
        <f>Dados!D21</f>
        <v>4</v>
      </c>
      <c r="D5" s="71">
        <f>Dados!E21</f>
        <v>0</v>
      </c>
      <c r="E5" s="71">
        <f>Dados!F21</f>
        <v>0</v>
      </c>
      <c r="F5" s="71">
        <f>Dados!G21</f>
        <v>0</v>
      </c>
      <c r="G5" s="71">
        <f>Dados!H21</f>
        <v>1</v>
      </c>
      <c r="H5" s="71">
        <f>Dados!I21</f>
        <v>5</v>
      </c>
      <c r="I5" s="71">
        <f>Dados!J21</f>
        <v>7</v>
      </c>
      <c r="J5" s="71">
        <f>Dados!K21</f>
        <v>0</v>
      </c>
      <c r="K5" s="71">
        <f>Dados!L21</f>
        <v>1</v>
      </c>
      <c r="L5" s="71">
        <f>Dados!M21</f>
        <v>0</v>
      </c>
      <c r="M5" s="71">
        <f>Dados!N21</f>
        <v>0</v>
      </c>
      <c r="N5" s="71">
        <f>Dados!O21</f>
        <v>0</v>
      </c>
      <c r="O5" s="71">
        <f>Dados!P21</f>
        <v>0</v>
      </c>
    </row>
    <row r="7">
      <c r="A7" s="72" t="s">
        <v>50</v>
      </c>
    </row>
    <row r="8">
      <c r="A8" s="73" t="s">
        <v>51</v>
      </c>
      <c r="B8" s="69">
        <v>6.0</v>
      </c>
      <c r="C8" s="69">
        <v>7.0</v>
      </c>
      <c r="D8" s="69">
        <v>8.0</v>
      </c>
      <c r="E8" s="69">
        <v>9.0</v>
      </c>
      <c r="F8" s="69">
        <v>10.0</v>
      </c>
      <c r="G8" s="69">
        <v>11.0</v>
      </c>
      <c r="H8" s="69">
        <v>12.0</v>
      </c>
      <c r="I8" s="69">
        <v>13.0</v>
      </c>
      <c r="J8" s="69">
        <v>14.0</v>
      </c>
      <c r="K8" s="69">
        <v>15.0</v>
      </c>
      <c r="L8" s="69">
        <v>16.0</v>
      </c>
      <c r="M8" s="69">
        <v>17.0</v>
      </c>
      <c r="N8" s="69">
        <v>18.0</v>
      </c>
      <c r="O8" s="69">
        <v>19.0</v>
      </c>
    </row>
    <row r="9">
      <c r="A9" s="74" t="s">
        <v>49</v>
      </c>
      <c r="B9" s="75">
        <f>B4/Dados!C$15</f>
        <v>0.06779661017</v>
      </c>
      <c r="C9" s="75">
        <f>C4/Dados!D$15</f>
        <v>0</v>
      </c>
      <c r="D9" s="75">
        <f>D4/Dados!E$15</f>
        <v>0.0253164557</v>
      </c>
      <c r="E9" s="75">
        <f>E4/Dados!F$15</f>
        <v>0.1129032258</v>
      </c>
      <c r="F9" s="75">
        <f>F4/Dados!G$15</f>
        <v>0.06060606061</v>
      </c>
      <c r="G9" s="75">
        <f>G4/Dados!H$15</f>
        <v>0.0487804878</v>
      </c>
      <c r="H9" s="75">
        <f>H4/Dados!I$15</f>
        <v>0.01515151515</v>
      </c>
      <c r="I9" s="75">
        <f>I4/Dados!J$15</f>
        <v>0.1627906977</v>
      </c>
      <c r="J9" s="75">
        <f>J4/Dados!K$15</f>
        <v>0.03333333333</v>
      </c>
      <c r="K9" s="75">
        <f>K4/Dados!L$15</f>
        <v>0.1060606061</v>
      </c>
      <c r="L9" s="75">
        <f>L4/Dados!M$15</f>
        <v>0.0625</v>
      </c>
      <c r="M9" s="75">
        <f>M4/Dados!N$15</f>
        <v>0.07692307692</v>
      </c>
      <c r="N9" s="75">
        <f>N4/Dados!O$15</f>
        <v>0.1123595506</v>
      </c>
      <c r="O9" s="75">
        <f>O4/Dados!P$15</f>
        <v>0.01639344262</v>
      </c>
    </row>
    <row r="10">
      <c r="A10" s="73" t="s">
        <v>9</v>
      </c>
      <c r="B10" s="76">
        <f>B5/Dados!C$15</f>
        <v>0.08474576271</v>
      </c>
      <c r="C10" s="76">
        <f>C5/Dados!D$15</f>
        <v>0.05128205128</v>
      </c>
      <c r="D10" s="76">
        <f>D5/Dados!E$15</f>
        <v>0</v>
      </c>
      <c r="E10" s="76">
        <f>E5/Dados!F$15</f>
        <v>0</v>
      </c>
      <c r="F10" s="76">
        <f>F5/Dados!G$15</f>
        <v>0</v>
      </c>
      <c r="G10" s="76">
        <f>G5/Dados!H$15</f>
        <v>0.01219512195</v>
      </c>
      <c r="H10" s="76">
        <f>H5/Dados!I$15</f>
        <v>0.07575757576</v>
      </c>
      <c r="I10" s="76">
        <f>I5/Dados!J$15</f>
        <v>0.1627906977</v>
      </c>
      <c r="J10" s="76">
        <f>J5/Dados!K$15</f>
        <v>0</v>
      </c>
      <c r="K10" s="76">
        <f>K5/Dados!L$15</f>
        <v>0.01515151515</v>
      </c>
      <c r="L10" s="76">
        <f>L5/Dados!M$15</f>
        <v>0</v>
      </c>
      <c r="M10" s="76">
        <f>M5/Dados!N$15</f>
        <v>0</v>
      </c>
      <c r="N10" s="76">
        <f>N5/Dados!O$15</f>
        <v>0</v>
      </c>
      <c r="O10" s="76">
        <f>O5/Dados!P$15</f>
        <v>0</v>
      </c>
    </row>
    <row r="12">
      <c r="A12" s="77" t="str">
        <f>Dados!B19</f>
        <v>Característica</v>
      </c>
      <c r="B12" s="78" t="str">
        <f>Dados!R19</f>
        <v>%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</row>
    <row r="13">
      <c r="A13" s="77" t="str">
        <f>Dados!B20</f>
        <v>Mulher</v>
      </c>
      <c r="B13" s="78">
        <f>Dados!R20</f>
        <v>0.0625</v>
      </c>
    </row>
    <row r="14">
      <c r="A14" s="77" t="str">
        <f>Dados!B21</f>
        <v>Crianças e adolescentes</v>
      </c>
      <c r="B14" s="78">
        <f>Dados!R21</f>
        <v>0.0224609375</v>
      </c>
    </row>
    <row r="15">
      <c r="A15" s="77" t="str">
        <f>Dados!B22</f>
        <v>Capacete</v>
      </c>
      <c r="B15" s="78">
        <f>Dados!R22</f>
        <v>0.1376953125</v>
      </c>
    </row>
    <row r="16">
      <c r="A16" s="77" t="s">
        <v>11</v>
      </c>
      <c r="B16" s="78">
        <f>SUM(Dados!R23:R25)</f>
        <v>0.1083984375</v>
      </c>
    </row>
    <row r="17">
      <c r="A17" s="77" t="str">
        <f>Dados!B26</f>
        <v>Contramão</v>
      </c>
      <c r="B17" s="78">
        <f>Dados!R26</f>
        <v>0.1162109375</v>
      </c>
    </row>
    <row r="18">
      <c r="A18" s="77" t="str">
        <f>Dados!B31</f>
        <v>Carona criança</v>
      </c>
      <c r="B18" s="78">
        <f>Dados!R31</f>
        <v>0.0888671875</v>
      </c>
    </row>
    <row r="19">
      <c r="A19" s="77" t="str">
        <f>Dados!B33</f>
        <v>Carona homem</v>
      </c>
      <c r="B19" s="78">
        <f>Dados!R33</f>
        <v>0.0029296875</v>
      </c>
    </row>
    <row r="20">
      <c r="A20" s="77" t="str">
        <f>Dados!B35</f>
        <v>Adaptada a carga</v>
      </c>
      <c r="B20" s="78">
        <f>Dados!R35</f>
        <v>0.0205078125</v>
      </c>
    </row>
    <row r="21">
      <c r="A21" s="79"/>
      <c r="B21" s="79"/>
    </row>
    <row r="22">
      <c r="A22" s="79"/>
      <c r="B22" s="79"/>
    </row>
    <row r="23">
      <c r="A23" s="79"/>
      <c r="B23" s="79"/>
    </row>
    <row r="24">
      <c r="A24" s="79"/>
      <c r="B24" s="79"/>
    </row>
    <row r="25">
      <c r="A25" s="79"/>
      <c r="B25" s="79"/>
    </row>
    <row r="26">
      <c r="A26" s="79"/>
      <c r="B26" s="79"/>
    </row>
    <row r="27">
      <c r="A27" s="79"/>
      <c r="B27" s="79"/>
    </row>
    <row r="28">
      <c r="A28" s="79"/>
      <c r="B28" s="79"/>
    </row>
    <row r="29">
      <c r="A29" s="79"/>
      <c r="B29" s="79"/>
    </row>
  </sheetData>
  <mergeCells count="2">
    <mergeCell ref="A1:O1"/>
    <mergeCell ref="A7:O7"/>
  </mergeCell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80" t="s">
        <v>52</v>
      </c>
      <c r="B1" s="81"/>
      <c r="C1" s="82"/>
      <c r="D1" s="83"/>
      <c r="E1" s="84" t="str">
        <f>UPPER(CONFFLUXO!A3)</f>
        <v>JAQUEIRA</v>
      </c>
      <c r="F1" s="81"/>
      <c r="G1" s="82"/>
      <c r="H1" s="85"/>
      <c r="I1" s="85"/>
      <c r="J1" s="85"/>
      <c r="K1" s="85"/>
    </row>
    <row r="2" ht="22.5" customHeight="1">
      <c r="A2" s="80" t="s">
        <v>19</v>
      </c>
      <c r="B2" s="81"/>
      <c r="C2" s="82"/>
      <c r="D2" s="83"/>
      <c r="E2" s="86">
        <f>SUM(E3:G3)</f>
        <v>39</v>
      </c>
      <c r="F2" s="81"/>
      <c r="G2" s="82"/>
      <c r="H2" s="85"/>
      <c r="I2" s="85"/>
      <c r="J2" s="85"/>
      <c r="K2" s="85"/>
    </row>
    <row r="3" ht="22.5" customHeight="1">
      <c r="A3" s="87"/>
      <c r="B3" s="87"/>
      <c r="C3" s="87"/>
      <c r="D3" s="88"/>
      <c r="E3" s="89">
        <f>CONFFLUXO!Q3</f>
        <v>15</v>
      </c>
      <c r="F3" s="89">
        <f>CONFFLUXO!Q4</f>
        <v>19</v>
      </c>
      <c r="G3" s="89">
        <f>CONFFLUXO!Q5</f>
        <v>5</v>
      </c>
      <c r="H3" s="85"/>
      <c r="I3" s="85"/>
      <c r="J3" s="85"/>
      <c r="K3" s="85"/>
    </row>
    <row r="4" ht="25.5" customHeight="1">
      <c r="A4" s="90"/>
      <c r="B4" s="90"/>
      <c r="C4" s="87"/>
      <c r="D4" s="87"/>
      <c r="E4" s="85"/>
      <c r="F4" s="85"/>
      <c r="G4" s="85"/>
      <c r="H4" s="91"/>
      <c r="I4" s="91"/>
      <c r="J4" s="92"/>
      <c r="K4" s="92"/>
    </row>
    <row r="5" ht="71.25" customHeight="1">
      <c r="A5" s="93" t="str">
        <f>UPPER(CONFFLUXO!A12)</f>
        <v>AFLITOS</v>
      </c>
      <c r="B5" s="94">
        <f>SUM(C5:C7)</f>
        <v>381</v>
      </c>
      <c r="C5" s="95">
        <f>CONFFLUXO!Q14</f>
        <v>46</v>
      </c>
      <c r="D5" s="87"/>
      <c r="E5" s="85"/>
      <c r="F5" s="85"/>
      <c r="G5" s="85"/>
      <c r="H5" s="91"/>
      <c r="I5" s="96">
        <f>CONFFLUXO!Q6</f>
        <v>27</v>
      </c>
      <c r="J5" s="97">
        <f>SUM(I5:I7)</f>
        <v>236</v>
      </c>
      <c r="K5" s="98" t="str">
        <f>UPPER(CONFFLUXO!A6)</f>
        <v>ROSARINHO</v>
      </c>
    </row>
    <row r="6" ht="71.25" customHeight="1">
      <c r="A6" s="99"/>
      <c r="B6" s="99"/>
      <c r="C6" s="95">
        <f>CONFFLUXO!Q13</f>
        <v>307</v>
      </c>
      <c r="D6" s="87"/>
      <c r="E6" s="85"/>
      <c r="F6" s="100">
        <f>SUM(E3:G3,I5:I7,E9:G9,C5:C7)</f>
        <v>1024</v>
      </c>
      <c r="G6" s="85"/>
      <c r="H6" s="91"/>
      <c r="I6" s="96">
        <f>CONFFLUXO!Q7</f>
        <v>169</v>
      </c>
      <c r="J6" s="99"/>
      <c r="K6" s="99"/>
    </row>
    <row r="7" ht="71.25" customHeight="1">
      <c r="A7" s="101"/>
      <c r="B7" s="101"/>
      <c r="C7" s="95">
        <f>CONFFLUXO!Q12</f>
        <v>28</v>
      </c>
      <c r="D7" s="87"/>
      <c r="E7" s="85"/>
      <c r="F7" s="85"/>
      <c r="G7" s="85"/>
      <c r="H7" s="91"/>
      <c r="I7" s="96">
        <f>CONFFLUXO!Q8</f>
        <v>40</v>
      </c>
      <c r="J7" s="101"/>
      <c r="K7" s="101"/>
    </row>
    <row r="8" ht="27.0" customHeight="1">
      <c r="A8" s="87"/>
      <c r="B8" s="87"/>
      <c r="C8" s="87"/>
      <c r="D8" s="87"/>
      <c r="E8" s="85"/>
      <c r="F8" s="85"/>
      <c r="G8" s="85"/>
      <c r="H8" s="85"/>
      <c r="I8" s="85"/>
      <c r="J8" s="85"/>
      <c r="K8" s="85"/>
    </row>
    <row r="9" ht="22.5" customHeight="1">
      <c r="A9" s="87"/>
      <c r="B9" s="87"/>
      <c r="C9" s="102"/>
      <c r="D9" s="102"/>
      <c r="E9" s="103">
        <f>CONFFLUXO!Q11</f>
        <v>66</v>
      </c>
      <c r="F9" s="103">
        <f>CONFFLUXO!Q10</f>
        <v>256</v>
      </c>
      <c r="G9" s="103">
        <f>CONFFLUXO!Q9</f>
        <v>46</v>
      </c>
      <c r="H9" s="85"/>
      <c r="I9" s="85"/>
      <c r="J9" s="85"/>
      <c r="K9" s="85"/>
    </row>
    <row r="10" ht="22.5" customHeight="1">
      <c r="A10" s="87"/>
      <c r="B10" s="87"/>
      <c r="C10" s="87"/>
      <c r="D10" s="87"/>
      <c r="E10" s="104">
        <f>SUM(E9:G9)</f>
        <v>368</v>
      </c>
      <c r="F10" s="81"/>
      <c r="G10" s="82"/>
      <c r="H10" s="85"/>
      <c r="I10" s="85"/>
      <c r="J10" s="85"/>
      <c r="K10" s="85"/>
    </row>
    <row r="11" ht="22.5" customHeight="1">
      <c r="A11" s="87"/>
      <c r="B11" s="87"/>
      <c r="C11" s="87"/>
      <c r="D11" s="87"/>
      <c r="E11" s="84" t="str">
        <f>UPPER(CONFFLUXO!A9)</f>
        <v>GRAÇAS</v>
      </c>
      <c r="F11" s="81"/>
      <c r="G11" s="82"/>
      <c r="H11" s="85"/>
      <c r="I11" s="85"/>
      <c r="J11" s="85"/>
      <c r="K11" s="105">
        <f>MAX(3:3,I:I,9:9,C:C)</f>
        <v>307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