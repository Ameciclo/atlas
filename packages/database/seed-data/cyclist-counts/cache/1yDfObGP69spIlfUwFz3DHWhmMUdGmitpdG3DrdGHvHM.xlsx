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Dados" sheetId="2" r:id="rId6"/>
    <sheet state="hidden" name="CONFFLUXO" sheetId="3" r:id="rId7"/>
    <sheet state="visible" name="Gráficos" sheetId="4" r:id="rId8"/>
    <sheet state="visible" name="Fluxo" sheetId="5" r:id="rId9"/>
    <sheet state="visible" name="Coordenadas" sheetId="6" r:id="rId10"/>
  </sheets>
  <definedNames/>
  <calcPr/>
</workbook>
</file>

<file path=xl/sharedStrings.xml><?xml version="1.0" encoding="utf-8"?>
<sst xmlns="http://schemas.openxmlformats.org/spreadsheetml/2006/main" count="80" uniqueCount="57">
  <si>
    <t>Cruzamento</t>
  </si>
  <si>
    <t>R. Padre Roma x R. Sebastião Malta Arcoverde</t>
  </si>
  <si>
    <t>Data</t>
  </si>
  <si>
    <t>Coordenadas Geográficas</t>
  </si>
  <si>
    <t>-8.03309, -34.90729</t>
  </si>
  <si>
    <t>Relatório</t>
  </si>
  <si>
    <t>https://drive.google.com/file/d/1cL4GE-D72Nz4_kHIn6Zz6IgBqQeZnYgj/view?usp=sharing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</si>
  <si>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</si>
  <si>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</si>
  <si>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</si>
  <si>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</si>
  <si>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</si>
  <si>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</si>
  <si>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</si>
  <si>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</si>
  <si>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</si>
  <si>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</si>
  <si>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</si>
  <si>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</si>
  <si>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</si>
  <si>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</si>
  <si>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</si>
  <si>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Rui Barbosa</t>
  </si>
  <si>
    <t>Tamarineira</t>
  </si>
  <si>
    <t>Parnamirim</t>
  </si>
  <si>
    <t>Padre Roma</t>
  </si>
  <si>
    <t>Jaqueira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</si>
  <si>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</si>
  <si>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</si>
  <si>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</si>
  <si>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</si>
  <si>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</si>
  <si>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</si>
  <si>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</si>
  <si>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</si>
  <si>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</si>
  <si>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</si>
  <si>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</si>
  <si>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</si>
  <si>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Elétrica</t>
  </si>
  <si>
    <t>Motorizada</t>
  </si>
  <si>
    <t>Skate e outros patináveis</t>
  </si>
  <si>
    <t>Empurrando</t>
  </si>
  <si>
    <t>Utilizando a Ciclofaixa</t>
  </si>
  <si>
    <t>Usando máscara</t>
  </si>
  <si>
    <t>"Diversos"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</si>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</sst>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6">
    <font>
      <sz val="10.0"/>
      <color rgb="FF000000"/>
      <name val="Calibri"/>
      <scheme val="minor"/>
    </font>
    <font>
      <b/>
      <sz val="12.0"/>
      <color rgb="FFFFFFFF"/>
      <name val="Ubuntu"/>
    </font>
    <font>
      <sz val="13.0"/>
      <color theme="1"/>
      <name val="Ubuntu"/>
    </font>
    <font>
      <sz val="12.0"/>
      <color theme="1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color theme="1"/>
      <name val="Calibri"/>
      <scheme val="minor"/>
    </font>
    <font>
      <color theme="1"/>
      <name val="Arial"/>
    </font>
    <font>
      <sz val="14.0"/>
      <color theme="1"/>
      <name val="Ubuntu"/>
    </font>
    <font/>
    <font>
      <b/>
      <sz val="14.0"/>
      <color rgb="FFFFFFFF"/>
      <name val="Ubuntu"/>
    </font>
    <font>
      <b/>
      <sz val="14.0"/>
      <color theme="1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1"/>
    </xf>
    <xf borderId="0" fillId="3" fontId="1" numFmtId="0" xfId="0" applyAlignment="1" applyFill="1" applyFont="1">
      <alignment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4" fontId="5" numFmtId="0" xfId="0" applyAlignment="1" applyFill="1" applyFont="1">
      <alignment horizontal="right" shrinkToFit="0" wrapText="1"/>
    </xf>
    <xf borderId="0" fillId="0" fontId="5" numFmtId="0" xfId="0" applyAlignment="1" applyFont="1">
      <alignment readingOrder="0" shrinkToFit="0" vertical="center" wrapText="1"/>
    </xf>
    <xf borderId="0" fillId="5" fontId="5" numFmtId="0" xfId="0" applyAlignment="1" applyFill="1" applyFont="1">
      <alignment horizontal="right" shrinkToFit="0" wrapText="1"/>
    </xf>
    <xf borderId="0" fillId="2" fontId="1" numFmtId="10" xfId="0" applyAlignment="1" applyFont="1" applyNumberFormat="1">
      <alignment shrinkToFit="0" vertical="center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ont="1" applyNumberFormat="1">
      <alignment shrinkToFit="0" vertical="center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1" numFmtId="0" xfId="0" applyAlignment="1" applyFont="1">
      <alignment shrinkToFit="0" vertical="center" wrapText="0"/>
    </xf>
    <xf borderId="0" fillId="2" fontId="7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shrinkToFit="0" wrapText="1"/>
    </xf>
    <xf borderId="0" fillId="4" fontId="8" numFmtId="0" xfId="0" applyAlignment="1" applyFont="1">
      <alignment shrinkToFit="0" wrapText="1"/>
    </xf>
    <xf borderId="0" fillId="4" fontId="9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shrinkToFit="0" wrapText="1"/>
    </xf>
    <xf borderId="0" fillId="8" fontId="8" numFmtId="0" xfId="0" applyAlignment="1" applyFill="1" applyFont="1">
      <alignment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shrinkToFit="0" wrapText="1"/>
    </xf>
    <xf borderId="0" fillId="0" fontId="8" numFmtId="165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165" xfId="0" applyAlignment="1" applyFont="1" applyNumberFormat="1">
      <alignment horizontal="center" shrinkToFit="0" wrapText="1"/>
    </xf>
    <xf borderId="1" fillId="0" fontId="10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shrinkToFit="0" wrapText="1"/>
    </xf>
    <xf borderId="3" fillId="0" fontId="11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shrinkToFit="0" textRotation="180" vertical="center" wrapText="1"/>
    </xf>
    <xf borderId="5" fillId="2" fontId="12" numFmtId="0" xfId="0" applyAlignment="1" applyBorder="1" applyFont="1">
      <alignment horizontal="center" shrinkToFit="0" textRotation="90" vertical="center" wrapText="1"/>
    </xf>
    <xf borderId="5" fillId="3" fontId="12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shrinkToFit="0" textRotation="180" vertical="center" wrapText="1"/>
    </xf>
    <xf borderId="5" fillId="2" fontId="12" numFmtId="0" xfId="0" applyAlignment="1" applyBorder="1" applyFont="1">
      <alignment horizontal="center" shrinkToFit="0" textRotation="180" vertical="center" wrapText="1"/>
    </xf>
    <xf borderId="6" fillId="0" fontId="11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4" fillId="0" fontId="15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5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544868650"/>
        <c:axId val="1526981152"/>
      </c:barChart>
      <c:catAx>
        <c:axId val="1544868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26981152"/>
      </c:catAx>
      <c:valAx>
        <c:axId val="1526981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4486865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4739770"/>
        <c:axId val="549300995"/>
      </c:barChart>
      <c:catAx>
        <c:axId val="4739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49300995"/>
      </c:catAx>
      <c:valAx>
        <c:axId val="5493009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97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556381149"/>
        <c:axId val="1731096680"/>
      </c:barChart>
      <c:catAx>
        <c:axId val="15563811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31096680"/>
      </c:catAx>
      <c:valAx>
        <c:axId val="1731096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38114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R14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D20:R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D32:R48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ref="A12:B20" displayName="Table_5" name="Table_5" id="5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L4GE-D72Nz4_kHIn6Zz6IgBqQeZnYgj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33.14"/>
    <col customWidth="1" min="3" max="6" width="14.43"/>
  </cols>
  <sheetData>
    <row r="1" ht="12.75" customHeight="1">
      <c r="A1" s="1" t="s">
        <v>0</v>
      </c>
      <c r="B1" s="2" t="s">
        <v>1</v>
      </c>
    </row>
    <row r="2" ht="12.75" customHeight="1">
      <c r="A2" s="1" t="s">
        <v>2</v>
      </c>
      <c r="B2" s="3">
        <v>44433.0</v>
      </c>
    </row>
    <row r="3" ht="12.75" customHeight="1">
      <c r="A3" s="1" t="s">
        <v>3</v>
      </c>
      <c r="B3" s="4" t="s">
        <v>4</v>
      </c>
    </row>
    <row r="4" ht="12.75" customHeight="1">
      <c r="A4" s="1" t="s">
        <v>5</v>
      </c>
      <c r="B4" s="5" t="s">
        <v>6</v>
      </c>
    </row>
    <row r="5" ht="12.75" customHeight="1">
      <c r="A5" s="1" t="s">
        <v>7</v>
      </c>
      <c r="B5" s="6">
        <f>Dados!S15</f>
        <v>2257</v>
      </c>
    </row>
    <row r="6" ht="12.75" customHeight="1">
      <c r="A6" s="1" t="s">
        <v>8</v>
      </c>
      <c r="B6" s="6">
        <f>MAX(Dados!E15:R15)</f>
        <v>293</v>
      </c>
    </row>
    <row r="7" ht="12.75" customHeight="1">
      <c r="A7" s="1" t="s">
        <v>9</v>
      </c>
      <c r="B7" s="7">
        <f>Dados!T20</f>
        <v>0.1076650421</v>
      </c>
    </row>
    <row r="8" ht="12.75" customHeight="1">
      <c r="A8" s="1" t="s">
        <v>10</v>
      </c>
      <c r="B8" s="7">
        <f>Dados!T21</f>
        <v>0.01949490474</v>
      </c>
    </row>
    <row r="9" ht="12.75" customHeight="1">
      <c r="A9" s="1" t="s">
        <v>11</v>
      </c>
      <c r="B9" s="7">
        <f>Dados!T22</f>
        <v>0.1072219761</v>
      </c>
    </row>
    <row r="10" ht="12.75" customHeight="1">
      <c r="A10" s="1" t="s">
        <v>12</v>
      </c>
      <c r="B10" s="7">
        <f>Dados!T23</f>
        <v>0.01949490474</v>
      </c>
    </row>
    <row r="11" ht="12.75" customHeight="1">
      <c r="A11" s="1" t="s">
        <v>13</v>
      </c>
      <c r="B11" s="7">
        <f>Dados!T24</f>
        <v>0.1001329198</v>
      </c>
    </row>
    <row r="12" ht="12.75" customHeight="1">
      <c r="A12" s="1" t="s">
        <v>14</v>
      </c>
      <c r="B12" s="7">
        <f>Dados!T25</f>
        <v>0.1178555605</v>
      </c>
    </row>
    <row r="13" ht="12.75" customHeight="1">
      <c r="A13" s="1" t="s">
        <v>15</v>
      </c>
      <c r="B13" s="7">
        <f>Dados!T26</f>
        <v>0.03633141338</v>
      </c>
    </row>
    <row r="14" ht="12.75" customHeight="1">
      <c r="A14" s="1" t="s">
        <v>16</v>
      </c>
      <c r="B14" s="7">
        <f>Dados!T27</f>
        <v>0.02259636686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2" width="3.43"/>
    <col customWidth="1" min="3" max="3" width="20.29"/>
    <col customWidth="1" min="4" max="4" width="35.14"/>
    <col customWidth="1" min="5" max="7" width="9.0"/>
    <col customWidth="1" min="8" max="18" width="7.71"/>
    <col customWidth="1" min="19" max="19" width="10.0"/>
    <col customWidth="1" min="20" max="20" width="9.71"/>
  </cols>
  <sheetData>
    <row r="1">
      <c r="A1" s="8"/>
      <c r="B1" s="8"/>
      <c r="C1" s="8" t="s">
        <v>17</v>
      </c>
      <c r="U1" s="9"/>
      <c r="V1" s="9"/>
      <c r="W1" s="9"/>
      <c r="X1" s="9"/>
      <c r="Y1" s="9"/>
      <c r="Z1" s="9"/>
      <c r="AA1" s="9"/>
      <c r="AB1" s="9"/>
    </row>
    <row r="2">
      <c r="A2" s="8"/>
      <c r="B2" s="10"/>
      <c r="C2" s="10" t="s">
        <v>18</v>
      </c>
      <c r="D2" s="10" t="s">
        <v>19</v>
      </c>
      <c r="E2" s="11">
        <v>6.0</v>
      </c>
      <c r="F2" s="11">
        <v>7.0</v>
      </c>
      <c r="G2" s="11">
        <v>8.0</v>
      </c>
      <c r="H2" s="11">
        <v>9.0</v>
      </c>
      <c r="I2" s="11">
        <v>10.0</v>
      </c>
      <c r="J2" s="11">
        <v>11.0</v>
      </c>
      <c r="K2" s="11">
        <v>12.0</v>
      </c>
      <c r="L2" s="11">
        <v>13.0</v>
      </c>
      <c r="M2" s="11">
        <v>14.0</v>
      </c>
      <c r="N2" s="11">
        <v>15.0</v>
      </c>
      <c r="O2" s="11">
        <v>16.0</v>
      </c>
      <c r="P2" s="11">
        <v>17.0</v>
      </c>
      <c r="Q2" s="11">
        <v>18.0</v>
      </c>
      <c r="R2" s="11">
        <v>19.0</v>
      </c>
      <c r="S2" s="11" t="s">
        <v>20</v>
      </c>
      <c r="T2" s="12" t="s">
        <v>21</v>
      </c>
      <c r="U2" s="9"/>
      <c r="V2" s="9"/>
      <c r="W2" s="9"/>
      <c r="X2" s="9"/>
      <c r="Y2" s="9"/>
      <c r="Z2" s="9"/>
      <c r="AA2" s="9"/>
      <c r="AB2" s="9"/>
    </row>
    <row r="3">
      <c r="A3" s="8"/>
      <c r="B3" s="10"/>
      <c r="C3" s="13" t="s">
        <v>22</v>
      </c>
      <c r="D3" s="14" t="str">
        <f>C12</f>
        <v>Jaqueira</v>
      </c>
      <c r="E3" s="13">
        <v>1.0</v>
      </c>
      <c r="F3" s="13">
        <v>0.0</v>
      </c>
      <c r="G3" s="13">
        <v>2.0</v>
      </c>
      <c r="H3" s="13">
        <v>1.0</v>
      </c>
      <c r="I3" s="13">
        <v>0.0</v>
      </c>
      <c r="J3" s="13">
        <v>0.0</v>
      </c>
      <c r="K3" s="15">
        <v>1.0</v>
      </c>
      <c r="L3" s="13">
        <v>0.0</v>
      </c>
      <c r="M3" s="13">
        <v>0.0</v>
      </c>
      <c r="N3" s="13">
        <v>2.0</v>
      </c>
      <c r="O3" s="13">
        <v>1.0</v>
      </c>
      <c r="P3" s="16">
        <v>1.0</v>
      </c>
      <c r="Q3" s="16">
        <v>1.0</v>
      </c>
      <c r="R3" s="13">
        <v>0.0</v>
      </c>
      <c r="S3" s="11">
        <f t="shared" ref="S3:S14" si="1">SUM(E3:R3)</f>
        <v>10</v>
      </c>
      <c r="T3" s="12">
        <f t="shared" ref="T3:T14" si="2">S3/$S$15</f>
        <v>0.004430660168</v>
      </c>
      <c r="U3" s="9"/>
      <c r="V3" s="9"/>
      <c r="W3" s="9"/>
      <c r="X3" s="9"/>
      <c r="Y3" s="9"/>
      <c r="Z3" s="9"/>
      <c r="AA3" s="9"/>
      <c r="AB3" s="9"/>
    </row>
    <row r="4">
      <c r="A4" s="8"/>
      <c r="B4" s="10"/>
      <c r="C4" s="14" t="str">
        <f>C3</f>
        <v>Rui Barbosa</v>
      </c>
      <c r="D4" s="14" t="str">
        <f>C9</f>
        <v>Padre Roma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7">
        <v>0.0</v>
      </c>
      <c r="L4" s="13">
        <v>0.0</v>
      </c>
      <c r="M4" s="13">
        <v>1.0</v>
      </c>
      <c r="N4" s="13">
        <v>0.0</v>
      </c>
      <c r="O4" s="13">
        <v>0.0</v>
      </c>
      <c r="P4" s="16">
        <v>0.0</v>
      </c>
      <c r="Q4" s="16">
        <v>0.0</v>
      </c>
      <c r="R4" s="13">
        <v>0.0</v>
      </c>
      <c r="S4" s="11">
        <f t="shared" si="1"/>
        <v>1</v>
      </c>
      <c r="T4" s="12">
        <f t="shared" si="2"/>
        <v>0.0004430660168</v>
      </c>
      <c r="U4" s="9"/>
      <c r="V4" s="9"/>
      <c r="W4" s="9"/>
      <c r="X4" s="9"/>
      <c r="Y4" s="9"/>
      <c r="Z4" s="9"/>
      <c r="AA4" s="9"/>
      <c r="AB4" s="9"/>
    </row>
    <row r="5">
      <c r="A5" s="8"/>
      <c r="B5" s="10"/>
      <c r="C5" s="14" t="str">
        <f>C3</f>
        <v>Rui Barbosa</v>
      </c>
      <c r="D5" s="13" t="s">
        <v>23</v>
      </c>
      <c r="E5" s="13">
        <v>1.0</v>
      </c>
      <c r="F5" s="13">
        <v>0.0</v>
      </c>
      <c r="G5" s="13">
        <v>1.0</v>
      </c>
      <c r="H5" s="13">
        <v>0.0</v>
      </c>
      <c r="I5" s="13">
        <v>0.0</v>
      </c>
      <c r="J5" s="13">
        <v>1.0</v>
      </c>
      <c r="K5" s="15">
        <v>0.0</v>
      </c>
      <c r="L5" s="13">
        <v>0.0</v>
      </c>
      <c r="M5" s="13">
        <v>2.0</v>
      </c>
      <c r="N5" s="13">
        <v>2.0</v>
      </c>
      <c r="O5" s="13">
        <v>1.0</v>
      </c>
      <c r="P5" s="16">
        <v>1.0</v>
      </c>
      <c r="Q5" s="16">
        <v>2.0</v>
      </c>
      <c r="R5" s="13">
        <v>0.0</v>
      </c>
      <c r="S5" s="11">
        <f t="shared" si="1"/>
        <v>11</v>
      </c>
      <c r="T5" s="12">
        <f t="shared" si="2"/>
        <v>0.004873726185</v>
      </c>
      <c r="U5" s="9"/>
      <c r="V5" s="9"/>
      <c r="W5" s="9"/>
      <c r="X5" s="9"/>
      <c r="Y5" s="9"/>
      <c r="Z5" s="9"/>
      <c r="AA5" s="9"/>
      <c r="AB5" s="9"/>
    </row>
    <row r="6">
      <c r="A6" s="8"/>
      <c r="B6" s="10"/>
      <c r="C6" s="13" t="s">
        <v>24</v>
      </c>
      <c r="D6" s="14" t="str">
        <f>C3</f>
        <v>Rui Barbosa</v>
      </c>
      <c r="E6" s="13">
        <v>17.0</v>
      </c>
      <c r="F6" s="13">
        <v>14.0</v>
      </c>
      <c r="G6" s="13">
        <v>12.0</v>
      </c>
      <c r="H6" s="13">
        <v>3.0</v>
      </c>
      <c r="I6" s="13">
        <v>3.0</v>
      </c>
      <c r="J6" s="13">
        <v>10.0</v>
      </c>
      <c r="K6" s="17">
        <v>5.0</v>
      </c>
      <c r="L6" s="13">
        <v>7.0</v>
      </c>
      <c r="M6" s="13">
        <v>13.0</v>
      </c>
      <c r="N6" s="13">
        <v>9.0</v>
      </c>
      <c r="O6" s="13">
        <v>10.0</v>
      </c>
      <c r="P6" s="16">
        <v>12.0</v>
      </c>
      <c r="Q6" s="16">
        <v>8.0</v>
      </c>
      <c r="R6" s="13">
        <v>5.0</v>
      </c>
      <c r="S6" s="11">
        <f t="shared" si="1"/>
        <v>128</v>
      </c>
      <c r="T6" s="12">
        <f t="shared" si="2"/>
        <v>0.05671245016</v>
      </c>
      <c r="U6" s="9"/>
      <c r="V6" s="9"/>
      <c r="W6" s="9"/>
      <c r="X6" s="9"/>
      <c r="Y6" s="9"/>
      <c r="Z6" s="9"/>
      <c r="AA6" s="9"/>
      <c r="AB6" s="9"/>
    </row>
    <row r="7">
      <c r="A7" s="8"/>
      <c r="B7" s="10"/>
      <c r="C7" s="14" t="str">
        <f>C6</f>
        <v>Parnamirim</v>
      </c>
      <c r="D7" s="14" t="str">
        <f>C12</f>
        <v>Jaqueira</v>
      </c>
      <c r="E7" s="13">
        <v>51.0</v>
      </c>
      <c r="F7" s="13">
        <v>82.0</v>
      </c>
      <c r="G7" s="13">
        <v>44.0</v>
      </c>
      <c r="H7" s="13">
        <v>29.0</v>
      </c>
      <c r="I7" s="13">
        <v>16.0</v>
      </c>
      <c r="J7" s="13">
        <v>36.0</v>
      </c>
      <c r="K7" s="15">
        <v>36.0</v>
      </c>
      <c r="L7" s="13">
        <v>22.0</v>
      </c>
      <c r="M7" s="13">
        <v>34.0</v>
      </c>
      <c r="N7" s="13">
        <v>41.0</v>
      </c>
      <c r="O7" s="13">
        <v>48.0</v>
      </c>
      <c r="P7" s="16">
        <v>43.0</v>
      </c>
      <c r="Q7" s="16">
        <v>60.0</v>
      </c>
      <c r="R7" s="13">
        <v>30.0</v>
      </c>
      <c r="S7" s="11">
        <f t="shared" si="1"/>
        <v>572</v>
      </c>
      <c r="T7" s="12">
        <f t="shared" si="2"/>
        <v>0.2534337616</v>
      </c>
      <c r="U7" s="9"/>
      <c r="V7" s="9"/>
      <c r="W7" s="9"/>
      <c r="X7" s="9"/>
      <c r="Y7" s="9"/>
      <c r="Z7" s="9"/>
      <c r="AA7" s="9"/>
      <c r="AB7" s="9"/>
    </row>
    <row r="8">
      <c r="A8" s="8"/>
      <c r="B8" s="10"/>
      <c r="C8" s="14" t="str">
        <f>C6</f>
        <v>Parnamirim</v>
      </c>
      <c r="D8" s="14" t="str">
        <f>C9</f>
        <v>Padre Roma</v>
      </c>
      <c r="E8" s="13">
        <v>2.0</v>
      </c>
      <c r="F8" s="13">
        <v>5.0</v>
      </c>
      <c r="G8" s="13">
        <v>6.0</v>
      </c>
      <c r="H8" s="13">
        <v>2.0</v>
      </c>
      <c r="I8" s="13">
        <v>3.0</v>
      </c>
      <c r="J8" s="13">
        <v>3.0</v>
      </c>
      <c r="K8" s="17">
        <v>0.0</v>
      </c>
      <c r="L8" s="13">
        <v>2.0</v>
      </c>
      <c r="M8" s="13">
        <v>4.0</v>
      </c>
      <c r="N8" s="13">
        <v>2.0</v>
      </c>
      <c r="O8" s="13">
        <v>0.0</v>
      </c>
      <c r="P8" s="16">
        <v>0.0</v>
      </c>
      <c r="Q8" s="16">
        <v>0.0</v>
      </c>
      <c r="R8" s="13">
        <v>0.0</v>
      </c>
      <c r="S8" s="11">
        <f t="shared" si="1"/>
        <v>29</v>
      </c>
      <c r="T8" s="12">
        <f t="shared" si="2"/>
        <v>0.01284891449</v>
      </c>
      <c r="U8" s="9"/>
      <c r="V8" s="9"/>
      <c r="W8" s="9"/>
      <c r="X8" s="9"/>
      <c r="Y8" s="9"/>
      <c r="Z8" s="9"/>
      <c r="AA8" s="9"/>
      <c r="AB8" s="9"/>
    </row>
    <row r="9">
      <c r="A9" s="8"/>
      <c r="B9" s="10"/>
      <c r="C9" s="13" t="s">
        <v>25</v>
      </c>
      <c r="D9" s="14" t="str">
        <f>C6</f>
        <v>Parnamirim</v>
      </c>
      <c r="E9" s="13">
        <v>41.0</v>
      </c>
      <c r="F9" s="13">
        <v>43.0</v>
      </c>
      <c r="G9" s="13">
        <v>29.0</v>
      </c>
      <c r="H9" s="13">
        <v>28.0</v>
      </c>
      <c r="I9" s="13">
        <v>27.0</v>
      </c>
      <c r="J9" s="13">
        <v>27.0</v>
      </c>
      <c r="K9" s="15">
        <v>37.0</v>
      </c>
      <c r="L9" s="13">
        <v>24.0</v>
      </c>
      <c r="M9" s="13">
        <v>34.0</v>
      </c>
      <c r="N9" s="13">
        <v>44.0</v>
      </c>
      <c r="O9" s="13">
        <v>59.0</v>
      </c>
      <c r="P9" s="16">
        <v>82.0</v>
      </c>
      <c r="Q9" s="16">
        <v>69.0</v>
      </c>
      <c r="R9" s="13">
        <v>49.0</v>
      </c>
      <c r="S9" s="11">
        <f t="shared" si="1"/>
        <v>593</v>
      </c>
      <c r="T9" s="12">
        <f t="shared" si="2"/>
        <v>0.262738148</v>
      </c>
      <c r="U9" s="9"/>
      <c r="V9" s="9"/>
      <c r="W9" s="9"/>
      <c r="X9" s="9"/>
      <c r="Y9" s="9"/>
      <c r="Z9" s="9"/>
      <c r="AA9" s="9"/>
      <c r="AB9" s="9"/>
    </row>
    <row r="10">
      <c r="A10" s="8"/>
      <c r="B10" s="10"/>
      <c r="C10" s="14" t="str">
        <f>C9</f>
        <v>Padre Roma</v>
      </c>
      <c r="D10" s="14" t="str">
        <f>C3</f>
        <v>Rui Barbosa</v>
      </c>
      <c r="E10" s="13">
        <v>115.0</v>
      </c>
      <c r="F10" s="13">
        <v>141.0</v>
      </c>
      <c r="G10" s="13">
        <v>65.0</v>
      </c>
      <c r="H10" s="13">
        <v>43.0</v>
      </c>
      <c r="I10" s="13">
        <v>32.0</v>
      </c>
      <c r="J10" s="13">
        <v>20.0</v>
      </c>
      <c r="K10" s="17">
        <v>30.0</v>
      </c>
      <c r="L10" s="13">
        <v>44.0</v>
      </c>
      <c r="M10" s="13">
        <v>33.0</v>
      </c>
      <c r="N10" s="13">
        <v>40.0</v>
      </c>
      <c r="O10" s="13">
        <v>66.0</v>
      </c>
      <c r="P10" s="16">
        <v>45.0</v>
      </c>
      <c r="Q10" s="16">
        <v>45.0</v>
      </c>
      <c r="R10" s="13">
        <v>30.0</v>
      </c>
      <c r="S10" s="11">
        <f t="shared" si="1"/>
        <v>749</v>
      </c>
      <c r="T10" s="12">
        <f t="shared" si="2"/>
        <v>0.3318564466</v>
      </c>
      <c r="U10" s="9"/>
      <c r="V10" s="9"/>
      <c r="W10" s="9"/>
      <c r="X10" s="9"/>
      <c r="Y10" s="9"/>
      <c r="Z10" s="9"/>
      <c r="AA10" s="9"/>
      <c r="AB10" s="9"/>
    </row>
    <row r="11">
      <c r="A11" s="8"/>
      <c r="B11" s="10"/>
      <c r="C11" s="14" t="str">
        <f>C9</f>
        <v>Padre Roma</v>
      </c>
      <c r="D11" s="14" t="str">
        <f>C12</f>
        <v>Jaqueira</v>
      </c>
      <c r="E11" s="13">
        <v>0.0</v>
      </c>
      <c r="F11" s="13">
        <v>0.0</v>
      </c>
      <c r="G11" s="13">
        <v>0.0</v>
      </c>
      <c r="H11" s="13">
        <v>1.0</v>
      </c>
      <c r="I11" s="13">
        <v>1.0</v>
      </c>
      <c r="J11" s="13">
        <v>0.0</v>
      </c>
      <c r="K11" s="15">
        <v>2.0</v>
      </c>
      <c r="L11" s="13">
        <v>0.0</v>
      </c>
      <c r="M11" s="13">
        <v>0.0</v>
      </c>
      <c r="N11" s="13">
        <v>0.0</v>
      </c>
      <c r="O11" s="13">
        <v>0.0</v>
      </c>
      <c r="P11" s="16">
        <v>0.0</v>
      </c>
      <c r="Q11" s="16">
        <v>0.0</v>
      </c>
      <c r="R11" s="13">
        <v>2.0</v>
      </c>
      <c r="S11" s="11">
        <f t="shared" si="1"/>
        <v>6</v>
      </c>
      <c r="T11" s="12">
        <f t="shared" si="2"/>
        <v>0.002658396101</v>
      </c>
      <c r="U11" s="9"/>
      <c r="V11" s="9"/>
      <c r="W11" s="9"/>
      <c r="X11" s="9"/>
      <c r="Y11" s="9"/>
      <c r="Z11" s="9"/>
      <c r="AA11" s="9"/>
      <c r="AB11" s="9"/>
    </row>
    <row r="12">
      <c r="A12" s="8"/>
      <c r="B12" s="10"/>
      <c r="C12" s="13" t="s">
        <v>26</v>
      </c>
      <c r="D12" s="14" t="str">
        <f>C9</f>
        <v>Padre Roma</v>
      </c>
      <c r="E12" s="13">
        <v>0.0</v>
      </c>
      <c r="F12" s="13">
        <v>0.0</v>
      </c>
      <c r="G12" s="13">
        <v>6.0</v>
      </c>
      <c r="H12" s="13">
        <v>1.0</v>
      </c>
      <c r="I12" s="13">
        <v>0.0</v>
      </c>
      <c r="J12" s="13">
        <v>0.0</v>
      </c>
      <c r="K12" s="17">
        <v>0.0</v>
      </c>
      <c r="L12" s="13">
        <v>0.0</v>
      </c>
      <c r="M12" s="13">
        <v>0.0</v>
      </c>
      <c r="N12" s="13">
        <v>0.0</v>
      </c>
      <c r="O12" s="13">
        <v>1.0</v>
      </c>
      <c r="P12" s="16">
        <v>0.0</v>
      </c>
      <c r="Q12" s="16">
        <v>0.0</v>
      </c>
      <c r="R12" s="13">
        <v>0.0</v>
      </c>
      <c r="S12" s="11">
        <f t="shared" si="1"/>
        <v>8</v>
      </c>
      <c r="T12" s="12">
        <f t="shared" si="2"/>
        <v>0.003544528135</v>
      </c>
      <c r="U12" s="9"/>
      <c r="V12" s="9"/>
      <c r="W12" s="9"/>
      <c r="X12" s="9"/>
      <c r="Y12" s="9"/>
      <c r="Z12" s="9"/>
      <c r="AA12" s="9"/>
      <c r="AB12" s="9"/>
    </row>
    <row r="13">
      <c r="A13" s="8"/>
      <c r="B13" s="10"/>
      <c r="C13" s="14" t="str">
        <f>C12</f>
        <v>Jaqueira</v>
      </c>
      <c r="D13" s="14" t="str">
        <f>C6</f>
        <v>Parnamirim</v>
      </c>
      <c r="E13" s="13">
        <v>3.0</v>
      </c>
      <c r="F13" s="13">
        <v>8.0</v>
      </c>
      <c r="G13" s="13">
        <v>2.0</v>
      </c>
      <c r="H13" s="13">
        <v>5.0</v>
      </c>
      <c r="I13" s="13">
        <v>7.0</v>
      </c>
      <c r="J13" s="13">
        <v>7.0</v>
      </c>
      <c r="K13" s="15">
        <v>14.0</v>
      </c>
      <c r="L13" s="13">
        <v>8.0</v>
      </c>
      <c r="M13" s="13">
        <v>13.0</v>
      </c>
      <c r="N13" s="13">
        <v>10.0</v>
      </c>
      <c r="O13" s="13">
        <v>13.0</v>
      </c>
      <c r="P13" s="16">
        <v>22.0</v>
      </c>
      <c r="Q13" s="16">
        <v>21.0</v>
      </c>
      <c r="R13" s="13">
        <v>15.0</v>
      </c>
      <c r="S13" s="11">
        <f t="shared" si="1"/>
        <v>148</v>
      </c>
      <c r="T13" s="12">
        <f t="shared" si="2"/>
        <v>0.06557377049</v>
      </c>
      <c r="U13" s="9"/>
      <c r="V13" s="9"/>
      <c r="W13" s="9"/>
      <c r="X13" s="9"/>
      <c r="Y13" s="9"/>
      <c r="Z13" s="9"/>
      <c r="AA13" s="9"/>
      <c r="AB13" s="9"/>
    </row>
    <row r="14">
      <c r="A14" s="8"/>
      <c r="B14" s="10"/>
      <c r="C14" s="14" t="str">
        <f>C12</f>
        <v>Jaqueira</v>
      </c>
      <c r="D14" s="14" t="str">
        <f>C3</f>
        <v>Rui Barbosa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7">
        <v>0.0</v>
      </c>
      <c r="L14" s="13">
        <v>0.0</v>
      </c>
      <c r="M14" s="13">
        <v>0.0</v>
      </c>
      <c r="N14" s="13">
        <v>1.0</v>
      </c>
      <c r="O14" s="13">
        <v>0.0</v>
      </c>
      <c r="P14" s="16">
        <v>1.0</v>
      </c>
      <c r="Q14" s="16">
        <v>0.0</v>
      </c>
      <c r="R14" s="13">
        <v>0.0</v>
      </c>
      <c r="S14" s="11">
        <f t="shared" si="1"/>
        <v>2</v>
      </c>
      <c r="T14" s="12">
        <f t="shared" si="2"/>
        <v>0.0008861320337</v>
      </c>
      <c r="U14" s="9"/>
      <c r="V14" s="9"/>
      <c r="W14" s="9"/>
      <c r="X14" s="9"/>
      <c r="Y14" s="9"/>
      <c r="Z14" s="9"/>
      <c r="AA14" s="9"/>
      <c r="AB14" s="9"/>
    </row>
    <row r="15">
      <c r="A15" s="8"/>
      <c r="B15" s="10"/>
      <c r="C15" s="10"/>
      <c r="D15" s="10" t="s">
        <v>20</v>
      </c>
      <c r="E15" s="11">
        <f t="shared" ref="E15:R15" si="3">SUM(E3:E14)</f>
        <v>231</v>
      </c>
      <c r="F15" s="11">
        <f t="shared" si="3"/>
        <v>293</v>
      </c>
      <c r="G15" s="11">
        <f t="shared" si="3"/>
        <v>167</v>
      </c>
      <c r="H15" s="11">
        <f t="shared" si="3"/>
        <v>113</v>
      </c>
      <c r="I15" s="11">
        <f t="shared" si="3"/>
        <v>89</v>
      </c>
      <c r="J15" s="11">
        <f t="shared" si="3"/>
        <v>104</v>
      </c>
      <c r="K15" s="11">
        <f t="shared" si="3"/>
        <v>125</v>
      </c>
      <c r="L15" s="11">
        <f t="shared" si="3"/>
        <v>107</v>
      </c>
      <c r="M15" s="11">
        <f t="shared" si="3"/>
        <v>134</v>
      </c>
      <c r="N15" s="11">
        <f t="shared" si="3"/>
        <v>151</v>
      </c>
      <c r="O15" s="11">
        <f t="shared" si="3"/>
        <v>199</v>
      </c>
      <c r="P15" s="11">
        <f t="shared" si="3"/>
        <v>207</v>
      </c>
      <c r="Q15" s="11">
        <f t="shared" si="3"/>
        <v>206</v>
      </c>
      <c r="R15" s="11">
        <f t="shared" si="3"/>
        <v>131</v>
      </c>
      <c r="S15" s="11">
        <f>SUM(S$3:S$14)</f>
        <v>2257</v>
      </c>
      <c r="T15" s="12"/>
      <c r="U15" s="9"/>
      <c r="V15" s="9"/>
      <c r="W15" s="9"/>
      <c r="X15" s="9"/>
      <c r="Y15" s="9"/>
      <c r="Z15" s="9"/>
      <c r="AA15" s="9"/>
      <c r="AB15" s="9"/>
    </row>
    <row r="16">
      <c r="A16" s="18"/>
      <c r="B16" s="18"/>
      <c r="C16" s="18"/>
      <c r="D16" s="18" t="s">
        <v>27</v>
      </c>
      <c r="E16" s="19">
        <f t="shared" ref="E16:R16" si="4">E15/$S$15</f>
        <v>0.1023482499</v>
      </c>
      <c r="F16" s="19">
        <f t="shared" si="4"/>
        <v>0.1298183429</v>
      </c>
      <c r="G16" s="19">
        <f t="shared" si="4"/>
        <v>0.07399202481</v>
      </c>
      <c r="H16" s="19">
        <f t="shared" si="4"/>
        <v>0.0500664599</v>
      </c>
      <c r="I16" s="19">
        <f t="shared" si="4"/>
        <v>0.0394328755</v>
      </c>
      <c r="J16" s="19">
        <f t="shared" si="4"/>
        <v>0.04607886575</v>
      </c>
      <c r="K16" s="19">
        <f t="shared" si="4"/>
        <v>0.0553832521</v>
      </c>
      <c r="L16" s="19">
        <f t="shared" si="4"/>
        <v>0.0474080638</v>
      </c>
      <c r="M16" s="19">
        <f t="shared" si="4"/>
        <v>0.05937084626</v>
      </c>
      <c r="N16" s="19">
        <f t="shared" si="4"/>
        <v>0.06690296854</v>
      </c>
      <c r="O16" s="19">
        <f t="shared" si="4"/>
        <v>0.08817013735</v>
      </c>
      <c r="P16" s="19">
        <f t="shared" si="4"/>
        <v>0.09171466549</v>
      </c>
      <c r="Q16" s="19">
        <f t="shared" si="4"/>
        <v>0.09127159947</v>
      </c>
      <c r="R16" s="19">
        <f t="shared" si="4"/>
        <v>0.05804164821</v>
      </c>
      <c r="S16" s="19">
        <f>SUM(E16:R16)</f>
        <v>1</v>
      </c>
      <c r="T16" s="12"/>
      <c r="U16" s="9"/>
      <c r="V16" s="9"/>
      <c r="W16" s="9"/>
      <c r="X16" s="9"/>
      <c r="Y16" s="9"/>
      <c r="Z16" s="9"/>
      <c r="AA16" s="9"/>
      <c r="AB16" s="9"/>
    </row>
    <row r="17">
      <c r="A17" s="20"/>
      <c r="B17" s="20"/>
      <c r="C17" s="20"/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2"/>
      <c r="U17" s="9"/>
      <c r="V17" s="9"/>
      <c r="W17" s="9"/>
      <c r="X17" s="9"/>
      <c r="Y17" s="9"/>
      <c r="Z17" s="9"/>
      <c r="AA17" s="9"/>
      <c r="AB17" s="9"/>
    </row>
    <row r="18">
      <c r="A18" s="23"/>
      <c r="B18" s="23"/>
      <c r="C18" s="23"/>
      <c r="D18" s="8" t="s">
        <v>28</v>
      </c>
      <c r="U18" s="9"/>
      <c r="V18" s="9"/>
      <c r="W18" s="9"/>
      <c r="X18" s="9"/>
      <c r="Y18" s="9"/>
      <c r="Z18" s="9"/>
      <c r="AA18" s="9"/>
      <c r="AB18" s="9"/>
    </row>
    <row r="19">
      <c r="A19" s="24"/>
      <c r="B19" s="24"/>
      <c r="C19" s="24"/>
      <c r="D19" s="10" t="s">
        <v>29</v>
      </c>
      <c r="E19" s="11">
        <v>6.0</v>
      </c>
      <c r="F19" s="11">
        <v>7.0</v>
      </c>
      <c r="G19" s="11">
        <v>8.0</v>
      </c>
      <c r="H19" s="11">
        <v>9.0</v>
      </c>
      <c r="I19" s="11">
        <v>10.0</v>
      </c>
      <c r="J19" s="11">
        <v>11.0</v>
      </c>
      <c r="K19" s="11">
        <v>12.0</v>
      </c>
      <c r="L19" s="11">
        <v>13.0</v>
      </c>
      <c r="M19" s="11">
        <v>14.0</v>
      </c>
      <c r="N19" s="11">
        <v>15.0</v>
      </c>
      <c r="O19" s="11">
        <v>16.0</v>
      </c>
      <c r="P19" s="11">
        <v>17.0</v>
      </c>
      <c r="Q19" s="11">
        <v>18.0</v>
      </c>
      <c r="R19" s="11">
        <v>19.0</v>
      </c>
      <c r="S19" s="11" t="s">
        <v>20</v>
      </c>
      <c r="T19" s="12" t="s">
        <v>21</v>
      </c>
      <c r="U19" s="9"/>
      <c r="V19" s="9"/>
      <c r="W19" s="9"/>
      <c r="X19" s="9"/>
      <c r="Y19" s="9"/>
      <c r="Z19" s="9"/>
      <c r="AA19" s="9"/>
      <c r="AB19" s="9"/>
    </row>
    <row r="20">
      <c r="A20" s="25"/>
      <c r="B20" s="25"/>
      <c r="C20" s="25"/>
      <c r="D20" s="26" t="s">
        <v>9</v>
      </c>
      <c r="E20" s="16">
        <v>24.0</v>
      </c>
      <c r="F20" s="16">
        <v>17.0</v>
      </c>
      <c r="G20" s="16">
        <v>31.0</v>
      </c>
      <c r="H20" s="16">
        <v>14.0</v>
      </c>
      <c r="I20" s="16">
        <v>11.0</v>
      </c>
      <c r="J20" s="16">
        <v>10.0</v>
      </c>
      <c r="K20" s="16">
        <v>15.0</v>
      </c>
      <c r="L20" s="16">
        <v>7.0</v>
      </c>
      <c r="M20" s="16">
        <v>12.0</v>
      </c>
      <c r="N20" s="16">
        <v>12.0</v>
      </c>
      <c r="O20" s="16">
        <v>26.0</v>
      </c>
      <c r="P20" s="16">
        <v>20.0</v>
      </c>
      <c r="Q20" s="16">
        <v>27.0</v>
      </c>
      <c r="R20" s="16">
        <v>17.0</v>
      </c>
      <c r="S20" s="11">
        <f t="shared" ref="S20:S27" si="5">SUM(E20:R20)</f>
        <v>243</v>
      </c>
      <c r="T20" s="12">
        <f t="shared" ref="T20:T27" si="6">S20/$S$15</f>
        <v>0.1076650421</v>
      </c>
      <c r="U20" s="9"/>
      <c r="V20" s="9"/>
      <c r="W20" s="9"/>
      <c r="X20" s="9"/>
      <c r="Y20" s="9"/>
      <c r="Z20" s="9"/>
      <c r="AA20" s="9"/>
      <c r="AB20" s="9"/>
    </row>
    <row r="21">
      <c r="A21" s="25"/>
      <c r="B21" s="25"/>
      <c r="C21" s="25"/>
      <c r="D21" s="26" t="s">
        <v>10</v>
      </c>
      <c r="E21" s="16">
        <v>3.0</v>
      </c>
      <c r="F21" s="16">
        <v>3.0</v>
      </c>
      <c r="G21" s="16">
        <v>1.0</v>
      </c>
      <c r="H21" s="16">
        <v>0.0</v>
      </c>
      <c r="I21" s="16">
        <v>4.0</v>
      </c>
      <c r="J21" s="16">
        <v>1.0</v>
      </c>
      <c r="K21" s="16">
        <v>5.0</v>
      </c>
      <c r="L21" s="16">
        <v>5.0</v>
      </c>
      <c r="M21" s="16">
        <v>7.0</v>
      </c>
      <c r="N21" s="16">
        <v>3.0</v>
      </c>
      <c r="O21" s="16">
        <v>1.0</v>
      </c>
      <c r="P21" s="16">
        <v>2.0</v>
      </c>
      <c r="Q21" s="16">
        <v>8.0</v>
      </c>
      <c r="R21" s="16">
        <v>1.0</v>
      </c>
      <c r="S21" s="11">
        <f t="shared" si="5"/>
        <v>44</v>
      </c>
      <c r="T21" s="12">
        <f t="shared" si="6"/>
        <v>0.01949490474</v>
      </c>
      <c r="U21" s="9"/>
      <c r="V21" s="9"/>
      <c r="W21" s="9"/>
      <c r="X21" s="9"/>
      <c r="Y21" s="9"/>
      <c r="Z21" s="9"/>
      <c r="AA21" s="9"/>
      <c r="AB21" s="9"/>
    </row>
    <row r="22">
      <c r="A22" s="25"/>
      <c r="B22" s="25"/>
      <c r="C22" s="25"/>
      <c r="D22" s="26" t="s">
        <v>11</v>
      </c>
      <c r="E22" s="16">
        <v>19.0</v>
      </c>
      <c r="F22" s="16">
        <v>38.0</v>
      </c>
      <c r="G22" s="16">
        <v>24.0</v>
      </c>
      <c r="H22" s="16">
        <v>13.0</v>
      </c>
      <c r="I22" s="16">
        <v>5.0</v>
      </c>
      <c r="J22" s="16">
        <v>6.0</v>
      </c>
      <c r="K22" s="16">
        <v>14.0</v>
      </c>
      <c r="L22" s="16">
        <v>7.0</v>
      </c>
      <c r="M22" s="16">
        <v>6.0</v>
      </c>
      <c r="N22" s="16">
        <v>6.0</v>
      </c>
      <c r="O22" s="16">
        <v>20.0</v>
      </c>
      <c r="P22" s="16">
        <v>21.0</v>
      </c>
      <c r="Q22" s="16">
        <v>31.0</v>
      </c>
      <c r="R22" s="16">
        <v>32.0</v>
      </c>
      <c r="S22" s="11">
        <f t="shared" si="5"/>
        <v>242</v>
      </c>
      <c r="T22" s="12">
        <f t="shared" si="6"/>
        <v>0.1072219761</v>
      </c>
      <c r="U22" s="9"/>
      <c r="V22" s="9"/>
      <c r="W22" s="9"/>
      <c r="X22" s="9"/>
      <c r="Y22" s="9"/>
      <c r="Z22" s="9"/>
      <c r="AA22" s="9"/>
      <c r="AB22" s="9"/>
    </row>
    <row r="23">
      <c r="A23" s="25"/>
      <c r="B23" s="25"/>
      <c r="C23" s="25"/>
      <c r="D23" s="26" t="s">
        <v>12</v>
      </c>
      <c r="E23" s="26">
        <f t="shared" ref="E23:R23" si="7">SUM(E32:E34)</f>
        <v>4</v>
      </c>
      <c r="F23" s="26">
        <f t="shared" si="7"/>
        <v>5</v>
      </c>
      <c r="G23" s="26">
        <f t="shared" si="7"/>
        <v>3</v>
      </c>
      <c r="H23" s="26">
        <f t="shared" si="7"/>
        <v>3</v>
      </c>
      <c r="I23" s="26">
        <f t="shared" si="7"/>
        <v>1</v>
      </c>
      <c r="J23" s="26">
        <f t="shared" si="7"/>
        <v>1</v>
      </c>
      <c r="K23" s="26">
        <f t="shared" si="7"/>
        <v>3</v>
      </c>
      <c r="L23" s="26">
        <f t="shared" si="7"/>
        <v>0</v>
      </c>
      <c r="M23" s="26">
        <f t="shared" si="7"/>
        <v>6</v>
      </c>
      <c r="N23" s="26">
        <f t="shared" si="7"/>
        <v>4</v>
      </c>
      <c r="O23" s="26">
        <f t="shared" si="7"/>
        <v>6</v>
      </c>
      <c r="P23" s="26">
        <f t="shared" si="7"/>
        <v>1</v>
      </c>
      <c r="Q23" s="26">
        <f t="shared" si="7"/>
        <v>6</v>
      </c>
      <c r="R23" s="26">
        <f t="shared" si="7"/>
        <v>1</v>
      </c>
      <c r="S23" s="11">
        <f t="shared" si="5"/>
        <v>44</v>
      </c>
      <c r="T23" s="12">
        <f t="shared" si="6"/>
        <v>0.01949490474</v>
      </c>
      <c r="U23" s="9"/>
      <c r="V23" s="9"/>
      <c r="W23" s="9"/>
      <c r="X23" s="9"/>
      <c r="Y23" s="9"/>
      <c r="Z23" s="9"/>
      <c r="AA23" s="9"/>
      <c r="AB23" s="9"/>
    </row>
    <row r="24">
      <c r="A24" s="25"/>
      <c r="B24" s="25"/>
      <c r="C24" s="25"/>
      <c r="D24" s="26" t="s">
        <v>13</v>
      </c>
      <c r="E24" s="26">
        <f t="shared" ref="E24:R24" si="8">SUM(E35:E36)</f>
        <v>33</v>
      </c>
      <c r="F24" s="26">
        <f t="shared" si="8"/>
        <v>25</v>
      </c>
      <c r="G24" s="26">
        <f t="shared" si="8"/>
        <v>16</v>
      </c>
      <c r="H24" s="26">
        <f t="shared" si="8"/>
        <v>13</v>
      </c>
      <c r="I24" s="26">
        <f t="shared" si="8"/>
        <v>12</v>
      </c>
      <c r="J24" s="26">
        <f t="shared" si="8"/>
        <v>12</v>
      </c>
      <c r="K24" s="26">
        <f t="shared" si="8"/>
        <v>14</v>
      </c>
      <c r="L24" s="26">
        <f t="shared" si="8"/>
        <v>10</v>
      </c>
      <c r="M24" s="26">
        <f t="shared" si="8"/>
        <v>12</v>
      </c>
      <c r="N24" s="26">
        <f t="shared" si="8"/>
        <v>12</v>
      </c>
      <c r="O24" s="26">
        <f t="shared" si="8"/>
        <v>18</v>
      </c>
      <c r="P24" s="26">
        <f t="shared" si="8"/>
        <v>21</v>
      </c>
      <c r="Q24" s="26">
        <f t="shared" si="8"/>
        <v>22</v>
      </c>
      <c r="R24" s="26">
        <f t="shared" si="8"/>
        <v>6</v>
      </c>
      <c r="S24" s="11">
        <f t="shared" si="5"/>
        <v>226</v>
      </c>
      <c r="T24" s="12">
        <f t="shared" si="6"/>
        <v>0.1001329198</v>
      </c>
      <c r="U24" s="9"/>
      <c r="V24" s="9"/>
      <c r="W24" s="9"/>
      <c r="X24" s="9"/>
      <c r="Y24" s="9"/>
      <c r="Z24" s="9"/>
      <c r="AA24" s="9"/>
      <c r="AB24" s="9"/>
    </row>
    <row r="25">
      <c r="A25" s="25"/>
      <c r="B25" s="25"/>
      <c r="C25" s="25"/>
      <c r="D25" s="26" t="s">
        <v>14</v>
      </c>
      <c r="E25" s="26">
        <f t="shared" ref="E25:R25" si="9">SUM(E37:E38)</f>
        <v>0</v>
      </c>
      <c r="F25" s="26">
        <f t="shared" si="9"/>
        <v>5</v>
      </c>
      <c r="G25" s="26">
        <f t="shared" si="9"/>
        <v>6</v>
      </c>
      <c r="H25" s="26">
        <f t="shared" si="9"/>
        <v>11</v>
      </c>
      <c r="I25" s="26">
        <f t="shared" si="9"/>
        <v>16</v>
      </c>
      <c r="J25" s="26">
        <f t="shared" si="9"/>
        <v>28</v>
      </c>
      <c r="K25" s="26">
        <f t="shared" si="9"/>
        <v>27</v>
      </c>
      <c r="L25" s="26">
        <f t="shared" si="9"/>
        <v>28</v>
      </c>
      <c r="M25" s="26">
        <f t="shared" si="9"/>
        <v>31</v>
      </c>
      <c r="N25" s="26">
        <f t="shared" si="9"/>
        <v>32</v>
      </c>
      <c r="O25" s="26">
        <f t="shared" si="9"/>
        <v>15</v>
      </c>
      <c r="P25" s="26">
        <f t="shared" si="9"/>
        <v>17</v>
      </c>
      <c r="Q25" s="26">
        <f t="shared" si="9"/>
        <v>23</v>
      </c>
      <c r="R25" s="26">
        <f t="shared" si="9"/>
        <v>27</v>
      </c>
      <c r="S25" s="11">
        <f t="shared" si="5"/>
        <v>266</v>
      </c>
      <c r="T25" s="12">
        <f t="shared" si="6"/>
        <v>0.1178555605</v>
      </c>
      <c r="U25" s="9"/>
      <c r="V25" s="9"/>
      <c r="W25" s="9"/>
      <c r="X25" s="9"/>
      <c r="Y25" s="9"/>
      <c r="Z25" s="9"/>
      <c r="AA25" s="9"/>
      <c r="AB25" s="9"/>
    </row>
    <row r="26">
      <c r="A26" s="25"/>
      <c r="B26" s="25"/>
      <c r="C26" s="25"/>
      <c r="D26" s="26" t="s">
        <v>15</v>
      </c>
      <c r="E26" s="26">
        <f t="shared" ref="E26:R26" si="10">SUM(E39:E40)</f>
        <v>4</v>
      </c>
      <c r="F26" s="26">
        <f t="shared" si="10"/>
        <v>5</v>
      </c>
      <c r="G26" s="26">
        <f t="shared" si="10"/>
        <v>8</v>
      </c>
      <c r="H26" s="26">
        <f t="shared" si="10"/>
        <v>4</v>
      </c>
      <c r="I26" s="26">
        <f t="shared" si="10"/>
        <v>1</v>
      </c>
      <c r="J26" s="26">
        <f t="shared" si="10"/>
        <v>6</v>
      </c>
      <c r="K26" s="26">
        <f t="shared" si="10"/>
        <v>5</v>
      </c>
      <c r="L26" s="26">
        <f t="shared" si="10"/>
        <v>7</v>
      </c>
      <c r="M26" s="26">
        <f t="shared" si="10"/>
        <v>8</v>
      </c>
      <c r="N26" s="26">
        <f t="shared" si="10"/>
        <v>11</v>
      </c>
      <c r="O26" s="26">
        <f t="shared" si="10"/>
        <v>5</v>
      </c>
      <c r="P26" s="26">
        <f t="shared" si="10"/>
        <v>11</v>
      </c>
      <c r="Q26" s="26">
        <f t="shared" si="10"/>
        <v>6</v>
      </c>
      <c r="R26" s="26">
        <f t="shared" si="10"/>
        <v>1</v>
      </c>
      <c r="S26" s="11">
        <f t="shared" si="5"/>
        <v>82</v>
      </c>
      <c r="T26" s="12">
        <f t="shared" si="6"/>
        <v>0.03633141338</v>
      </c>
      <c r="U26" s="9"/>
      <c r="V26" s="9"/>
      <c r="W26" s="9"/>
      <c r="X26" s="9"/>
      <c r="Y26" s="9"/>
      <c r="Z26" s="9"/>
      <c r="AA26" s="9"/>
      <c r="AB26" s="9"/>
    </row>
    <row r="27">
      <c r="A27" s="25"/>
      <c r="B27" s="25"/>
      <c r="C27" s="25"/>
      <c r="D27" s="26" t="s">
        <v>16</v>
      </c>
      <c r="E27" s="16">
        <v>3.0</v>
      </c>
      <c r="F27" s="16">
        <v>14.0</v>
      </c>
      <c r="G27" s="16">
        <v>7.0</v>
      </c>
      <c r="H27" s="16">
        <v>2.0</v>
      </c>
      <c r="I27" s="16">
        <v>1.0</v>
      </c>
      <c r="J27" s="16">
        <v>4.0</v>
      </c>
      <c r="K27" s="16">
        <v>3.0</v>
      </c>
      <c r="L27" s="16">
        <v>2.0</v>
      </c>
      <c r="M27" s="16">
        <v>5.0</v>
      </c>
      <c r="N27" s="16">
        <v>0.0</v>
      </c>
      <c r="O27" s="16">
        <v>3.0</v>
      </c>
      <c r="P27" s="16">
        <v>3.0</v>
      </c>
      <c r="Q27" s="16">
        <v>3.0</v>
      </c>
      <c r="R27" s="16">
        <v>1.0</v>
      </c>
      <c r="S27" s="11">
        <f t="shared" si="5"/>
        <v>51</v>
      </c>
      <c r="T27" s="12">
        <f t="shared" si="6"/>
        <v>0.02259636686</v>
      </c>
      <c r="U27" s="9"/>
      <c r="V27" s="9"/>
      <c r="W27" s="9"/>
      <c r="X27" s="9"/>
      <c r="Y27" s="9"/>
      <c r="Z27" s="9"/>
      <c r="AA27" s="9"/>
      <c r="AB27" s="9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9"/>
      <c r="V28" s="9"/>
      <c r="W28" s="9"/>
      <c r="X28" s="9"/>
      <c r="Y28" s="9"/>
      <c r="Z28" s="9"/>
      <c r="AA28" s="9"/>
      <c r="AB28" s="9"/>
    </row>
    <row r="29">
      <c r="A29" s="27"/>
      <c r="B29" s="27"/>
      <c r="C29" s="27"/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9"/>
      <c r="U29" s="9"/>
      <c r="V29" s="9"/>
      <c r="W29" s="9"/>
      <c r="X29" s="9"/>
      <c r="Y29" s="9"/>
      <c r="Z29" s="9"/>
      <c r="AA29" s="9"/>
      <c r="AB29" s="9"/>
    </row>
    <row r="30">
      <c r="A30" s="8"/>
      <c r="B30" s="8"/>
      <c r="C30" s="8"/>
      <c r="D30" s="8" t="s">
        <v>30</v>
      </c>
      <c r="U30" s="9"/>
      <c r="V30" s="9"/>
      <c r="W30" s="9"/>
      <c r="X30" s="9"/>
      <c r="Y30" s="9"/>
      <c r="Z30" s="9"/>
      <c r="AA30" s="9"/>
      <c r="AB30" s="9"/>
    </row>
    <row r="31">
      <c r="A31" s="24"/>
      <c r="B31" s="24"/>
      <c r="C31" s="24"/>
      <c r="D31" s="10" t="s">
        <v>29</v>
      </c>
      <c r="E31" s="11">
        <v>6.0</v>
      </c>
      <c r="F31" s="11">
        <v>7.0</v>
      </c>
      <c r="G31" s="11">
        <v>8.0</v>
      </c>
      <c r="H31" s="11">
        <v>9.0</v>
      </c>
      <c r="I31" s="11">
        <v>10.0</v>
      </c>
      <c r="J31" s="11">
        <v>11.0</v>
      </c>
      <c r="K31" s="11">
        <v>12.0</v>
      </c>
      <c r="L31" s="11">
        <v>13.0</v>
      </c>
      <c r="M31" s="11">
        <v>14.0</v>
      </c>
      <c r="N31" s="11">
        <v>15.0</v>
      </c>
      <c r="O31" s="11">
        <v>16.0</v>
      </c>
      <c r="P31" s="11">
        <v>17.0</v>
      </c>
      <c r="Q31" s="11">
        <v>18.0</v>
      </c>
      <c r="R31" s="11">
        <v>19.0</v>
      </c>
      <c r="S31" s="11" t="s">
        <v>20</v>
      </c>
      <c r="T31" s="12" t="s">
        <v>21</v>
      </c>
      <c r="U31" s="9"/>
      <c r="V31" s="9"/>
      <c r="W31" s="9"/>
      <c r="X31" s="9"/>
      <c r="Y31" s="9"/>
      <c r="Z31" s="9"/>
      <c r="AA31" s="9"/>
      <c r="AB31" s="9"/>
    </row>
    <row r="32">
      <c r="A32" s="25"/>
      <c r="B32" s="25"/>
      <c r="C32" s="25"/>
      <c r="D32" s="30" t="s">
        <v>31</v>
      </c>
      <c r="E32" s="31">
        <v>2.0</v>
      </c>
      <c r="F32" s="32">
        <v>1.0</v>
      </c>
      <c r="G32" s="31">
        <v>1.0</v>
      </c>
      <c r="H32" s="31">
        <v>1.0</v>
      </c>
      <c r="I32" s="31">
        <v>1.0</v>
      </c>
      <c r="J32" s="31">
        <v>1.0</v>
      </c>
      <c r="K32" s="31">
        <v>3.0</v>
      </c>
      <c r="L32" s="31">
        <v>0.0</v>
      </c>
      <c r="M32" s="31">
        <v>1.0</v>
      </c>
      <c r="N32" s="31">
        <v>0.0</v>
      </c>
      <c r="O32" s="31">
        <v>2.0</v>
      </c>
      <c r="P32" s="31">
        <v>1.0</v>
      </c>
      <c r="Q32" s="31">
        <v>3.0</v>
      </c>
      <c r="R32" s="31">
        <v>1.0</v>
      </c>
      <c r="S32" s="11">
        <f t="shared" ref="S32:S48" si="11">SUM(E32:R32)</f>
        <v>18</v>
      </c>
      <c r="T32" s="12">
        <f t="shared" ref="T32:T48" si="12">S32/$S$15</f>
        <v>0.007975188303</v>
      </c>
      <c r="U32" s="9"/>
      <c r="V32" s="9"/>
      <c r="W32" s="9"/>
      <c r="X32" s="9"/>
      <c r="Y32" s="9"/>
      <c r="Z32" s="9"/>
      <c r="AA32" s="9"/>
      <c r="AB32" s="9"/>
    </row>
    <row r="33">
      <c r="A33" s="25"/>
      <c r="B33" s="25"/>
      <c r="C33" s="25"/>
      <c r="D33" s="26" t="s">
        <v>32</v>
      </c>
      <c r="E33" s="16">
        <v>2.0</v>
      </c>
      <c r="F33" s="16">
        <v>4.0</v>
      </c>
      <c r="G33" s="16">
        <v>2.0</v>
      </c>
      <c r="H33" s="16">
        <v>2.0</v>
      </c>
      <c r="I33" s="16">
        <v>0.0</v>
      </c>
      <c r="J33" s="16">
        <v>0.0</v>
      </c>
      <c r="K33" s="16">
        <v>0.0</v>
      </c>
      <c r="L33" s="16">
        <v>0.0</v>
      </c>
      <c r="M33" s="16">
        <v>4.0</v>
      </c>
      <c r="N33" s="16">
        <v>4.0</v>
      </c>
      <c r="O33" s="16">
        <v>3.0</v>
      </c>
      <c r="P33" s="16">
        <v>0.0</v>
      </c>
      <c r="Q33" s="16">
        <v>3.0</v>
      </c>
      <c r="R33" s="16">
        <v>0.0</v>
      </c>
      <c r="S33" s="11">
        <f t="shared" si="11"/>
        <v>24</v>
      </c>
      <c r="T33" s="12">
        <f t="shared" si="12"/>
        <v>0.0106335844</v>
      </c>
      <c r="U33" s="9"/>
      <c r="V33" s="9"/>
      <c r="W33" s="9"/>
      <c r="X33" s="9"/>
      <c r="Y33" s="9"/>
      <c r="Z33" s="9"/>
      <c r="AA33" s="9"/>
      <c r="AB33" s="9"/>
    </row>
    <row r="34">
      <c r="A34" s="25"/>
      <c r="B34" s="25"/>
      <c r="C34" s="25"/>
      <c r="D34" s="30" t="s">
        <v>33</v>
      </c>
      <c r="E34" s="31">
        <v>0.0</v>
      </c>
      <c r="F34" s="31">
        <v>0.0</v>
      </c>
      <c r="G34" s="31">
        <v>0.0</v>
      </c>
      <c r="H34" s="31">
        <v>0.0</v>
      </c>
      <c r="I34" s="31">
        <v>0.0</v>
      </c>
      <c r="J34" s="31">
        <v>0.0</v>
      </c>
      <c r="K34" s="31">
        <v>0.0</v>
      </c>
      <c r="L34" s="31">
        <v>0.0</v>
      </c>
      <c r="M34" s="31">
        <v>1.0</v>
      </c>
      <c r="N34" s="31">
        <v>0.0</v>
      </c>
      <c r="O34" s="31">
        <v>1.0</v>
      </c>
      <c r="P34" s="31">
        <v>0.0</v>
      </c>
      <c r="Q34" s="31">
        <v>0.0</v>
      </c>
      <c r="R34" s="31">
        <v>0.0</v>
      </c>
      <c r="S34" s="11">
        <f t="shared" si="11"/>
        <v>2</v>
      </c>
      <c r="T34" s="12">
        <f t="shared" si="12"/>
        <v>0.0008861320337</v>
      </c>
      <c r="U34" s="9"/>
      <c r="V34" s="9"/>
      <c r="W34" s="9"/>
      <c r="X34" s="9"/>
      <c r="Y34" s="9"/>
      <c r="Z34" s="9"/>
      <c r="AA34" s="9"/>
      <c r="AB34" s="9"/>
    </row>
    <row r="35">
      <c r="A35" s="25"/>
      <c r="B35" s="25"/>
      <c r="C35" s="25"/>
      <c r="D35" s="26" t="s">
        <v>34</v>
      </c>
      <c r="E35" s="16">
        <v>13.0</v>
      </c>
      <c r="F35" s="16">
        <v>6.0</v>
      </c>
      <c r="G35" s="16">
        <v>11.0</v>
      </c>
      <c r="H35" s="16">
        <v>8.0</v>
      </c>
      <c r="I35" s="16">
        <v>7.0</v>
      </c>
      <c r="J35" s="16">
        <v>6.0</v>
      </c>
      <c r="K35" s="16">
        <v>7.0</v>
      </c>
      <c r="L35" s="16">
        <v>3.0</v>
      </c>
      <c r="M35" s="16">
        <v>8.0</v>
      </c>
      <c r="N35" s="16">
        <v>10.0</v>
      </c>
      <c r="O35" s="16">
        <v>4.0</v>
      </c>
      <c r="P35" s="16">
        <v>9.0</v>
      </c>
      <c r="Q35" s="16">
        <v>11.0</v>
      </c>
      <c r="R35" s="16">
        <v>2.0</v>
      </c>
      <c r="S35" s="11">
        <f t="shared" si="11"/>
        <v>105</v>
      </c>
      <c r="T35" s="12">
        <f t="shared" si="12"/>
        <v>0.04652193177</v>
      </c>
      <c r="U35" s="9"/>
      <c r="V35" s="9"/>
      <c r="W35" s="9"/>
      <c r="X35" s="9"/>
      <c r="Y35" s="9"/>
      <c r="Z35" s="9"/>
      <c r="AA35" s="9"/>
      <c r="AB35" s="9"/>
    </row>
    <row r="36">
      <c r="A36" s="25"/>
      <c r="B36" s="25"/>
      <c r="C36" s="25"/>
      <c r="D36" s="30" t="s">
        <v>35</v>
      </c>
      <c r="E36" s="31">
        <v>20.0</v>
      </c>
      <c r="F36" s="32">
        <v>19.0</v>
      </c>
      <c r="G36" s="31">
        <v>5.0</v>
      </c>
      <c r="H36" s="31">
        <v>5.0</v>
      </c>
      <c r="I36" s="31">
        <v>5.0</v>
      </c>
      <c r="J36" s="31">
        <v>6.0</v>
      </c>
      <c r="K36" s="31">
        <v>7.0</v>
      </c>
      <c r="L36" s="31">
        <v>7.0</v>
      </c>
      <c r="M36" s="31">
        <v>4.0</v>
      </c>
      <c r="N36" s="31">
        <v>2.0</v>
      </c>
      <c r="O36" s="31">
        <v>14.0</v>
      </c>
      <c r="P36" s="31">
        <v>12.0</v>
      </c>
      <c r="Q36" s="31">
        <v>11.0</v>
      </c>
      <c r="R36" s="31">
        <v>4.0</v>
      </c>
      <c r="S36" s="11">
        <f t="shared" si="11"/>
        <v>121</v>
      </c>
      <c r="T36" s="12">
        <f t="shared" si="12"/>
        <v>0.05361098804</v>
      </c>
      <c r="U36" s="9"/>
      <c r="V36" s="9"/>
      <c r="W36" s="9"/>
      <c r="X36" s="9"/>
      <c r="Y36" s="9"/>
      <c r="Z36" s="9"/>
      <c r="AA36" s="9"/>
      <c r="AB36" s="9"/>
    </row>
    <row r="37">
      <c r="A37" s="25"/>
      <c r="B37" s="25"/>
      <c r="C37" s="25"/>
      <c r="D37" s="26" t="s">
        <v>14</v>
      </c>
      <c r="E37" s="16">
        <v>0.0</v>
      </c>
      <c r="F37" s="16">
        <v>0.0</v>
      </c>
      <c r="G37" s="16">
        <v>3.0</v>
      </c>
      <c r="H37" s="16">
        <v>4.0</v>
      </c>
      <c r="I37" s="16">
        <v>8.0</v>
      </c>
      <c r="J37" s="16">
        <v>1.0</v>
      </c>
      <c r="K37" s="16">
        <v>7.0</v>
      </c>
      <c r="L37" s="16">
        <v>2.0</v>
      </c>
      <c r="M37" s="16">
        <v>2.0</v>
      </c>
      <c r="N37" s="16">
        <v>5.0</v>
      </c>
      <c r="O37" s="16">
        <v>0.0</v>
      </c>
      <c r="P37" s="16">
        <v>2.0</v>
      </c>
      <c r="Q37" s="16">
        <v>0.0</v>
      </c>
      <c r="R37" s="16">
        <v>0.0</v>
      </c>
      <c r="S37" s="11">
        <f t="shared" si="11"/>
        <v>34</v>
      </c>
      <c r="T37" s="12">
        <f t="shared" si="12"/>
        <v>0.01506424457</v>
      </c>
      <c r="U37" s="9"/>
      <c r="V37" s="9"/>
      <c r="W37" s="9"/>
      <c r="X37" s="9"/>
      <c r="Y37" s="9"/>
      <c r="Z37" s="9"/>
      <c r="AA37" s="9"/>
      <c r="AB37" s="9"/>
    </row>
    <row r="38">
      <c r="A38" s="25"/>
      <c r="B38" s="25"/>
      <c r="C38" s="25"/>
      <c r="D38" s="30" t="s">
        <v>36</v>
      </c>
      <c r="E38" s="31">
        <v>0.0</v>
      </c>
      <c r="F38" s="32">
        <v>5.0</v>
      </c>
      <c r="G38" s="31">
        <v>3.0</v>
      </c>
      <c r="H38" s="31">
        <v>7.0</v>
      </c>
      <c r="I38" s="31">
        <v>8.0</v>
      </c>
      <c r="J38" s="31">
        <v>27.0</v>
      </c>
      <c r="K38" s="31">
        <v>20.0</v>
      </c>
      <c r="L38" s="31">
        <v>26.0</v>
      </c>
      <c r="M38" s="31">
        <v>29.0</v>
      </c>
      <c r="N38" s="31">
        <v>27.0</v>
      </c>
      <c r="O38" s="31">
        <v>15.0</v>
      </c>
      <c r="P38" s="31">
        <v>15.0</v>
      </c>
      <c r="Q38" s="31">
        <v>23.0</v>
      </c>
      <c r="R38" s="31">
        <v>27.0</v>
      </c>
      <c r="S38" s="11">
        <f t="shared" si="11"/>
        <v>232</v>
      </c>
      <c r="T38" s="12">
        <f t="shared" si="12"/>
        <v>0.1027913159</v>
      </c>
      <c r="U38" s="9"/>
      <c r="V38" s="9"/>
      <c r="W38" s="9"/>
      <c r="X38" s="9"/>
      <c r="Y38" s="9"/>
      <c r="Z38" s="9"/>
      <c r="AA38" s="9"/>
      <c r="AB38" s="9"/>
    </row>
    <row r="39">
      <c r="A39" s="25"/>
      <c r="B39" s="25"/>
      <c r="C39" s="25"/>
      <c r="D39" s="26" t="s">
        <v>15</v>
      </c>
      <c r="E39" s="16">
        <v>4.0</v>
      </c>
      <c r="F39" s="33">
        <v>5.0</v>
      </c>
      <c r="G39" s="16">
        <v>8.0</v>
      </c>
      <c r="H39" s="16">
        <v>4.0</v>
      </c>
      <c r="I39" s="16">
        <v>1.0</v>
      </c>
      <c r="J39" s="16">
        <v>5.0</v>
      </c>
      <c r="K39" s="16">
        <v>4.0</v>
      </c>
      <c r="L39" s="16">
        <v>6.0</v>
      </c>
      <c r="M39" s="16">
        <v>8.0</v>
      </c>
      <c r="N39" s="16">
        <v>11.0</v>
      </c>
      <c r="O39" s="16">
        <v>4.0</v>
      </c>
      <c r="P39" s="16">
        <v>3.0</v>
      </c>
      <c r="Q39" s="16">
        <v>2.0</v>
      </c>
      <c r="R39" s="16">
        <v>1.0</v>
      </c>
      <c r="S39" s="11">
        <f t="shared" si="11"/>
        <v>66</v>
      </c>
      <c r="T39" s="12">
        <f t="shared" si="12"/>
        <v>0.02924235711</v>
      </c>
      <c r="U39" s="9"/>
      <c r="V39" s="9"/>
      <c r="W39" s="9"/>
      <c r="X39" s="9"/>
      <c r="Y39" s="9"/>
      <c r="Z39" s="9"/>
      <c r="AA39" s="9"/>
      <c r="AB39" s="9"/>
    </row>
    <row r="40">
      <c r="A40" s="25"/>
      <c r="B40" s="25"/>
      <c r="C40" s="25"/>
      <c r="D40" s="26" t="s">
        <v>37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1.0</v>
      </c>
      <c r="K40" s="16">
        <v>1.0</v>
      </c>
      <c r="L40" s="16">
        <v>1.0</v>
      </c>
      <c r="M40" s="16">
        <v>0.0</v>
      </c>
      <c r="N40" s="16">
        <v>0.0</v>
      </c>
      <c r="O40" s="16">
        <v>1.0</v>
      </c>
      <c r="P40" s="16">
        <v>8.0</v>
      </c>
      <c r="Q40" s="16">
        <v>4.0</v>
      </c>
      <c r="R40" s="16">
        <v>0.0</v>
      </c>
      <c r="S40" s="11">
        <f t="shared" si="11"/>
        <v>16</v>
      </c>
      <c r="T40" s="12">
        <f t="shared" si="12"/>
        <v>0.007089056269</v>
      </c>
      <c r="U40" s="9"/>
      <c r="V40" s="9"/>
      <c r="W40" s="9"/>
      <c r="X40" s="9"/>
      <c r="Y40" s="9"/>
      <c r="Z40" s="9"/>
      <c r="AA40" s="9"/>
      <c r="AB40" s="9"/>
    </row>
    <row r="41">
      <c r="A41" s="25"/>
      <c r="B41" s="25"/>
      <c r="C41" s="25"/>
      <c r="D41" s="26" t="s">
        <v>38</v>
      </c>
      <c r="E41" s="16">
        <v>4.0</v>
      </c>
      <c r="F41" s="16">
        <v>0.0</v>
      </c>
      <c r="G41" s="16">
        <v>8.0</v>
      </c>
      <c r="H41" s="16">
        <v>1.0</v>
      </c>
      <c r="I41" s="16">
        <v>4.0</v>
      </c>
      <c r="J41" s="16">
        <v>5.0</v>
      </c>
      <c r="K41" s="16">
        <v>9.0</v>
      </c>
      <c r="L41" s="16">
        <v>2.0</v>
      </c>
      <c r="M41" s="16">
        <v>8.0</v>
      </c>
      <c r="N41" s="16">
        <v>3.0</v>
      </c>
      <c r="O41" s="16">
        <v>8.0</v>
      </c>
      <c r="P41" s="16">
        <v>9.0</v>
      </c>
      <c r="Q41" s="16">
        <v>9.0</v>
      </c>
      <c r="R41" s="16">
        <v>7.0</v>
      </c>
      <c r="S41" s="11">
        <f t="shared" si="11"/>
        <v>77</v>
      </c>
      <c r="T41" s="12">
        <f t="shared" si="12"/>
        <v>0.0341160833</v>
      </c>
      <c r="U41" s="9"/>
      <c r="V41" s="9"/>
      <c r="W41" s="9"/>
      <c r="X41" s="9"/>
      <c r="Y41" s="9"/>
      <c r="Z41" s="9"/>
      <c r="AA41" s="9"/>
      <c r="AB41" s="9"/>
    </row>
    <row r="42">
      <c r="A42" s="25"/>
      <c r="B42" s="25"/>
      <c r="C42" s="25"/>
      <c r="D42" s="16" t="s">
        <v>39</v>
      </c>
      <c r="E42" s="16">
        <v>1.0</v>
      </c>
      <c r="F42" s="16">
        <v>0.0</v>
      </c>
      <c r="G42" s="16">
        <v>0.0</v>
      </c>
      <c r="H42" s="16">
        <v>1.0</v>
      </c>
      <c r="I42" s="16">
        <v>0.0</v>
      </c>
      <c r="J42" s="16">
        <v>0.0</v>
      </c>
      <c r="K42" s="16">
        <v>1.0</v>
      </c>
      <c r="L42" s="16">
        <v>2.0</v>
      </c>
      <c r="M42" s="16">
        <v>0.0</v>
      </c>
      <c r="N42" s="16">
        <v>0.0</v>
      </c>
      <c r="O42" s="33">
        <v>1.0</v>
      </c>
      <c r="P42" s="16">
        <v>0.0</v>
      </c>
      <c r="Q42" s="16">
        <v>1.0</v>
      </c>
      <c r="R42" s="16">
        <v>1.0</v>
      </c>
      <c r="S42" s="11">
        <f t="shared" si="11"/>
        <v>8</v>
      </c>
      <c r="T42" s="12">
        <f t="shared" si="12"/>
        <v>0.003544528135</v>
      </c>
      <c r="U42" s="9"/>
      <c r="V42" s="9"/>
      <c r="W42" s="9"/>
      <c r="X42" s="9"/>
      <c r="Y42" s="9"/>
      <c r="Z42" s="9"/>
      <c r="AA42" s="9"/>
      <c r="AB42" s="9"/>
    </row>
    <row r="43">
      <c r="A43" s="25"/>
      <c r="B43" s="25"/>
      <c r="C43" s="25"/>
      <c r="D43" s="16" t="s">
        <v>40</v>
      </c>
      <c r="E43" s="16">
        <v>1.0</v>
      </c>
      <c r="F43" s="16">
        <v>0.0</v>
      </c>
      <c r="G43" s="16">
        <v>0.0</v>
      </c>
      <c r="H43" s="16">
        <v>0.0</v>
      </c>
      <c r="I43" s="16">
        <v>0.0</v>
      </c>
      <c r="J43" s="16">
        <v>0.0</v>
      </c>
      <c r="K43" s="16">
        <v>0.0</v>
      </c>
      <c r="L43" s="16">
        <v>1.0</v>
      </c>
      <c r="M43" s="16">
        <v>1.0</v>
      </c>
      <c r="N43" s="16">
        <v>0.0</v>
      </c>
      <c r="O43" s="33">
        <v>0.0</v>
      </c>
      <c r="P43" s="16">
        <v>1.0</v>
      </c>
      <c r="Q43" s="16">
        <v>0.0</v>
      </c>
      <c r="R43" s="16">
        <v>0.0</v>
      </c>
      <c r="S43" s="11">
        <f t="shared" si="11"/>
        <v>4</v>
      </c>
      <c r="T43" s="12">
        <f t="shared" si="12"/>
        <v>0.001772264067</v>
      </c>
      <c r="U43" s="9"/>
      <c r="V43" s="9"/>
      <c r="W43" s="9"/>
      <c r="X43" s="9"/>
      <c r="Y43" s="9"/>
      <c r="Z43" s="9"/>
      <c r="AA43" s="9"/>
      <c r="AB43" s="9"/>
    </row>
    <row r="44">
      <c r="A44" s="25"/>
      <c r="B44" s="25"/>
      <c r="C44" s="25"/>
      <c r="D44" s="26" t="s">
        <v>41</v>
      </c>
      <c r="E44" s="16">
        <v>0.0</v>
      </c>
      <c r="F44" s="16">
        <v>0.0</v>
      </c>
      <c r="G44" s="16">
        <v>0.0</v>
      </c>
      <c r="H44" s="16">
        <v>1.0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16">
        <v>0.0</v>
      </c>
      <c r="O44" s="33">
        <v>0.0</v>
      </c>
      <c r="P44" s="16">
        <v>1.0</v>
      </c>
      <c r="Q44" s="16">
        <v>0.0</v>
      </c>
      <c r="R44" s="16">
        <v>0.0</v>
      </c>
      <c r="S44" s="11">
        <f t="shared" si="11"/>
        <v>2</v>
      </c>
      <c r="T44" s="12">
        <f t="shared" si="12"/>
        <v>0.0008861320337</v>
      </c>
      <c r="U44" s="9"/>
      <c r="V44" s="9"/>
      <c r="W44" s="9"/>
      <c r="X44" s="9"/>
      <c r="Y44" s="9"/>
      <c r="Z44" s="9"/>
      <c r="AA44" s="9"/>
      <c r="AB44" s="9"/>
    </row>
    <row r="45">
      <c r="A45" s="25"/>
      <c r="B45" s="25"/>
      <c r="C45" s="25"/>
      <c r="D45" s="26" t="s">
        <v>42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2.0</v>
      </c>
      <c r="N45" s="16">
        <v>0.0</v>
      </c>
      <c r="O45" s="33">
        <v>1.0</v>
      </c>
      <c r="P45" s="16">
        <v>3.0</v>
      </c>
      <c r="Q45" s="16">
        <v>2.0</v>
      </c>
      <c r="R45" s="16">
        <v>1.0</v>
      </c>
      <c r="S45" s="11">
        <f t="shared" si="11"/>
        <v>9</v>
      </c>
      <c r="T45" s="12">
        <f t="shared" si="12"/>
        <v>0.003987594152</v>
      </c>
      <c r="U45" s="9"/>
      <c r="V45" s="9"/>
      <c r="W45" s="9"/>
      <c r="X45" s="9"/>
      <c r="Y45" s="9"/>
      <c r="Z45" s="9"/>
      <c r="AA45" s="9"/>
      <c r="AB45" s="9"/>
    </row>
    <row r="46">
      <c r="A46" s="25"/>
      <c r="B46" s="25"/>
      <c r="C46" s="25"/>
      <c r="D46" s="16" t="s">
        <v>43</v>
      </c>
      <c r="E46" s="16">
        <v>31.0</v>
      </c>
      <c r="F46" s="16">
        <v>49.0</v>
      </c>
      <c r="G46" s="16">
        <v>26.0</v>
      </c>
      <c r="H46" s="16">
        <v>11.0</v>
      </c>
      <c r="I46" s="16">
        <v>12.0</v>
      </c>
      <c r="J46" s="16">
        <v>17.0</v>
      </c>
      <c r="K46" s="16">
        <v>25.0</v>
      </c>
      <c r="L46" s="16">
        <v>18.0</v>
      </c>
      <c r="M46" s="16">
        <v>17.0</v>
      </c>
      <c r="N46" s="16">
        <v>25.0</v>
      </c>
      <c r="O46" s="33">
        <v>24.0</v>
      </c>
      <c r="P46" s="16">
        <v>31.0</v>
      </c>
      <c r="Q46" s="16">
        <v>41.0</v>
      </c>
      <c r="R46" s="16">
        <v>26.0</v>
      </c>
      <c r="S46" s="11">
        <f t="shared" si="11"/>
        <v>353</v>
      </c>
      <c r="T46" s="12">
        <f t="shared" si="12"/>
        <v>0.1564023039</v>
      </c>
      <c r="U46" s="9"/>
      <c r="V46" s="9"/>
      <c r="W46" s="9"/>
      <c r="X46" s="9"/>
      <c r="Y46" s="9"/>
      <c r="Z46" s="9"/>
      <c r="AA46" s="9"/>
      <c r="AB46" s="9"/>
    </row>
    <row r="47">
      <c r="A47" s="25"/>
      <c r="B47" s="25"/>
      <c r="C47" s="25"/>
      <c r="D47" s="16" t="s">
        <v>44</v>
      </c>
      <c r="E47" s="16">
        <v>100.0</v>
      </c>
      <c r="F47" s="16">
        <v>68.0</v>
      </c>
      <c r="G47" s="16">
        <v>58.0</v>
      </c>
      <c r="H47" s="16">
        <v>32.0</v>
      </c>
      <c r="I47" s="16">
        <v>4.0</v>
      </c>
      <c r="J47" s="16">
        <v>10.0</v>
      </c>
      <c r="K47" s="16">
        <v>40.0</v>
      </c>
      <c r="L47" s="16">
        <v>30.0</v>
      </c>
      <c r="M47" s="16">
        <v>37.0</v>
      </c>
      <c r="N47" s="16">
        <v>51.0</v>
      </c>
      <c r="O47" s="16">
        <v>70.0</v>
      </c>
      <c r="P47" s="16">
        <v>77.0</v>
      </c>
      <c r="Q47" s="16">
        <v>87.0</v>
      </c>
      <c r="R47" s="16">
        <v>48.0</v>
      </c>
      <c r="S47" s="11">
        <f t="shared" si="11"/>
        <v>712</v>
      </c>
      <c r="T47" s="12">
        <f t="shared" si="12"/>
        <v>0.315463004</v>
      </c>
      <c r="U47" s="9"/>
      <c r="V47" s="9"/>
      <c r="W47" s="9"/>
      <c r="X47" s="9"/>
      <c r="Y47" s="9"/>
      <c r="Z47" s="9"/>
      <c r="AA47" s="9"/>
      <c r="AB47" s="9"/>
    </row>
    <row r="48">
      <c r="A48" s="25"/>
      <c r="B48" s="25"/>
      <c r="C48" s="25"/>
      <c r="D48" s="16" t="s">
        <v>45</v>
      </c>
      <c r="E48" s="16">
        <v>0.0</v>
      </c>
      <c r="F48" s="16">
        <v>0.0</v>
      </c>
      <c r="G48" s="16">
        <v>0.0</v>
      </c>
      <c r="H48" s="16">
        <v>0.0</v>
      </c>
      <c r="I48" s="16">
        <v>1.0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1">
        <f t="shared" si="11"/>
        <v>1</v>
      </c>
      <c r="T48" s="12">
        <f t="shared" si="12"/>
        <v>0.0004430660168</v>
      </c>
      <c r="U48" s="9"/>
      <c r="V48" s="9"/>
      <c r="W48" s="9"/>
      <c r="X48" s="9"/>
      <c r="Y48" s="9"/>
      <c r="Z48" s="9"/>
      <c r="AA48" s="9"/>
      <c r="AB48" s="9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</sheetData>
  <mergeCells count="3">
    <mergeCell ref="C1:T1"/>
    <mergeCell ref="D18:T18"/>
    <mergeCell ref="D30:T30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2.75" customHeight="1">
      <c r="A1" s="34" t="str">
        <f>Fluxo!A2</f>
        <v>TOTAL</v>
      </c>
      <c r="F1" s="34">
        <v>2.0</v>
      </c>
      <c r="G1" s="35" t="str">
        <f t="array" ref="G1:G18">TRANSPOSE(Dados!2:2)</f>
        <v/>
      </c>
    </row>
    <row r="2" ht="12.75" customHeight="1">
      <c r="F2" s="34">
        <v>3.0</v>
      </c>
      <c r="G2" s="35"/>
    </row>
    <row r="3" ht="12.75" customHeight="1">
      <c r="A3" s="35" t="str">
        <f>Dados!C3</f>
        <v>Rui Barbosa</v>
      </c>
      <c r="B3" s="35" t="str">
        <f>Dados!D3</f>
        <v>Jaqueira</v>
      </c>
      <c r="F3" s="34">
        <v>4.0</v>
      </c>
      <c r="G3" s="35" t="s">
        <v>18</v>
      </c>
      <c r="Q3" s="35">
        <f>HLOOKUP($A$1,Dados!$E$2:$T$14,F1,0)</f>
        <v>10</v>
      </c>
    </row>
    <row r="4" ht="12.75" customHeight="1">
      <c r="A4" s="35" t="str">
        <f>Dados!C4</f>
        <v>Rui Barbosa</v>
      </c>
      <c r="B4" s="35" t="str">
        <f>Dados!D4</f>
        <v>Padre Roma</v>
      </c>
      <c r="F4" s="34">
        <v>5.0</v>
      </c>
      <c r="G4" s="35" t="s">
        <v>19</v>
      </c>
      <c r="Q4" s="35">
        <f>HLOOKUP($A$1,Dados!$E$2:$T$14,F2,0)</f>
        <v>1</v>
      </c>
    </row>
    <row r="5" ht="12.75" customHeight="1">
      <c r="A5" s="35" t="str">
        <f>Dados!C5</f>
        <v>Rui Barbosa</v>
      </c>
      <c r="B5" s="35" t="str">
        <f>Dados!D5</f>
        <v>Tamarineira</v>
      </c>
      <c r="F5" s="34">
        <v>6.0</v>
      </c>
      <c r="G5" s="35">
        <v>6.0</v>
      </c>
      <c r="Q5" s="35">
        <f>HLOOKUP($A$1,Dados!$E$2:$T$14,F3,0)</f>
        <v>11</v>
      </c>
    </row>
    <row r="6" ht="12.75" customHeight="1">
      <c r="A6" s="35" t="str">
        <f>Dados!C6</f>
        <v>Parnamirim</v>
      </c>
      <c r="B6" s="35" t="str">
        <f>Dados!D6</f>
        <v>Rui Barbosa</v>
      </c>
      <c r="F6" s="34">
        <v>7.0</v>
      </c>
      <c r="G6" s="35">
        <v>7.0</v>
      </c>
      <c r="Q6" s="35">
        <f>HLOOKUP($A$1,Dados!$E$2:$T$14,F4,0)</f>
        <v>128</v>
      </c>
    </row>
    <row r="7" ht="12.75" customHeight="1">
      <c r="A7" s="35" t="str">
        <f>Dados!C7</f>
        <v>Parnamirim</v>
      </c>
      <c r="B7" s="35" t="str">
        <f>Dados!D7</f>
        <v>Jaqueira</v>
      </c>
      <c r="F7" s="34">
        <v>8.0</v>
      </c>
      <c r="G7" s="35">
        <v>8.0</v>
      </c>
      <c r="Q7" s="35">
        <f>HLOOKUP($A$1,Dados!$E$2:$T$14,F5,0)</f>
        <v>572</v>
      </c>
    </row>
    <row r="8" ht="12.75" customHeight="1">
      <c r="A8" s="35" t="str">
        <f>Dados!C8</f>
        <v>Parnamirim</v>
      </c>
      <c r="B8" s="35" t="str">
        <f>Dados!D8</f>
        <v>Padre Roma</v>
      </c>
      <c r="F8" s="34">
        <v>9.0</v>
      </c>
      <c r="G8" s="35">
        <v>9.0</v>
      </c>
      <c r="Q8" s="35">
        <f>HLOOKUP($A$1,Dados!$E$2:$T$14,F6,0)</f>
        <v>29</v>
      </c>
    </row>
    <row r="9" ht="12.75" customHeight="1">
      <c r="A9" s="35" t="str">
        <f>Dados!C9</f>
        <v>Padre Roma</v>
      </c>
      <c r="B9" s="35" t="str">
        <f>Dados!D9</f>
        <v>Parnamirim</v>
      </c>
      <c r="F9" s="34">
        <v>10.0</v>
      </c>
      <c r="G9" s="35">
        <v>10.0</v>
      </c>
      <c r="Q9" s="35">
        <f>HLOOKUP($A$1,Dados!$E$2:$T$14,F7,0)</f>
        <v>593</v>
      </c>
    </row>
    <row r="10" ht="12.75" customHeight="1">
      <c r="A10" s="35" t="str">
        <f>Dados!C10</f>
        <v>Padre Roma</v>
      </c>
      <c r="B10" s="35" t="str">
        <f>Dados!D10</f>
        <v>Rui Barbosa</v>
      </c>
      <c r="F10" s="34">
        <v>11.0</v>
      </c>
      <c r="G10" s="35">
        <v>11.0</v>
      </c>
      <c r="Q10" s="35">
        <f>HLOOKUP($A$1,Dados!$E$2:$T$14,F8,0)</f>
        <v>749</v>
      </c>
    </row>
    <row r="11" ht="12.75" customHeight="1">
      <c r="A11" s="35" t="str">
        <f>Dados!C11</f>
        <v>Padre Roma</v>
      </c>
      <c r="B11" s="35" t="str">
        <f>Dados!D11</f>
        <v>Jaqueira</v>
      </c>
      <c r="F11" s="34">
        <v>12.0</v>
      </c>
      <c r="G11" s="35">
        <v>12.0</v>
      </c>
      <c r="Q11" s="35">
        <f>HLOOKUP($A$1,Dados!$E$2:$T$14,F9,0)</f>
        <v>6</v>
      </c>
    </row>
    <row r="12" ht="12.75" customHeight="1">
      <c r="A12" s="35" t="str">
        <f>Dados!C12</f>
        <v>Jaqueira</v>
      </c>
      <c r="B12" s="35" t="str">
        <f>Dados!D12</f>
        <v>Padre Roma</v>
      </c>
      <c r="F12" s="34">
        <v>13.0</v>
      </c>
      <c r="G12" s="35">
        <v>13.0</v>
      </c>
      <c r="Q12" s="35">
        <f>HLOOKUP($A$1,Dados!$E$2:$T$14,F10,0)</f>
        <v>8</v>
      </c>
    </row>
    <row r="13" ht="12.75" customHeight="1">
      <c r="A13" s="35" t="str">
        <f>Dados!C13</f>
        <v>Jaqueira</v>
      </c>
      <c r="B13" s="35" t="str">
        <f>Dados!D13</f>
        <v>Parnamirim</v>
      </c>
      <c r="G13" s="35">
        <v>14.0</v>
      </c>
      <c r="Q13" s="35">
        <f>HLOOKUP($A$1,Dados!$E$2:$T$14,F11,0)</f>
        <v>148</v>
      </c>
    </row>
    <row r="14" ht="12.75" customHeight="1">
      <c r="A14" s="35" t="str">
        <f>Dados!C14</f>
        <v>Jaqueira</v>
      </c>
      <c r="B14" s="35" t="str">
        <f>Dados!D14</f>
        <v>Rui Barbosa</v>
      </c>
      <c r="G14" s="35">
        <v>15.0</v>
      </c>
      <c r="Q14" s="35">
        <f>HLOOKUP($A$1,Dados!$E$2:$T$14,F12,0)</f>
        <v>2</v>
      </c>
    </row>
    <row r="15" ht="12.75" customHeight="1">
      <c r="G15" s="35">
        <v>16.0</v>
      </c>
    </row>
    <row r="16" ht="12.75" customHeight="1">
      <c r="G16" s="35">
        <v>17.0</v>
      </c>
    </row>
    <row r="17" ht="12.75" customHeight="1">
      <c r="G17" s="35">
        <v>18.0</v>
      </c>
    </row>
    <row r="18" ht="12.75" customHeight="1">
      <c r="G18" s="36">
        <v>19.0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15" width="7.29"/>
  </cols>
  <sheetData>
    <row r="1" ht="12.75" customHeight="1">
      <c r="A1" s="37" t="s">
        <v>46</v>
      </c>
    </row>
    <row r="2" ht="12.75" customHeight="1">
      <c r="A2" s="38" t="s">
        <v>47</v>
      </c>
      <c r="B2" s="39">
        <f>Dados!E2</f>
        <v>6</v>
      </c>
      <c r="C2" s="39">
        <f>Dados!F2</f>
        <v>7</v>
      </c>
      <c r="D2" s="39">
        <f>Dados!G2</f>
        <v>8</v>
      </c>
      <c r="E2" s="39">
        <f>Dados!H2</f>
        <v>9</v>
      </c>
      <c r="F2" s="39">
        <f>Dados!I2</f>
        <v>10</v>
      </c>
      <c r="G2" s="39">
        <f>Dados!J2</f>
        <v>11</v>
      </c>
      <c r="H2" s="39">
        <f>Dados!K2</f>
        <v>12</v>
      </c>
      <c r="I2" s="39">
        <f>Dados!L2</f>
        <v>13</v>
      </c>
      <c r="J2" s="39">
        <f>Dados!M2</f>
        <v>14</v>
      </c>
      <c r="K2" s="39">
        <f>Dados!N2</f>
        <v>15</v>
      </c>
      <c r="L2" s="39">
        <f>Dados!O2</f>
        <v>16</v>
      </c>
      <c r="M2" s="39">
        <f>Dados!P2</f>
        <v>17</v>
      </c>
      <c r="N2" s="39">
        <f>Dados!Q2</f>
        <v>18</v>
      </c>
      <c r="O2" s="39">
        <f>Dados!R2</f>
        <v>19</v>
      </c>
    </row>
    <row r="3" ht="12.75" customHeight="1">
      <c r="A3" s="40" t="s">
        <v>48</v>
      </c>
      <c r="B3" s="41">
        <f>Dados!E15-B4-B5</f>
        <v>204</v>
      </c>
      <c r="C3" s="41">
        <f>Dados!F15-C4-C5</f>
        <v>273</v>
      </c>
      <c r="D3" s="41">
        <f>Dados!G15-D4-D5</f>
        <v>135</v>
      </c>
      <c r="E3" s="41">
        <f>Dados!H15-E4-E5</f>
        <v>99</v>
      </c>
      <c r="F3" s="41">
        <f>Dados!I15-F4-F5</f>
        <v>74</v>
      </c>
      <c r="G3" s="41">
        <f>Dados!J15-G4-G5</f>
        <v>93</v>
      </c>
      <c r="H3" s="41">
        <f>Dados!K15-H4-H5</f>
        <v>105</v>
      </c>
      <c r="I3" s="41">
        <f>Dados!L15-I4-I5</f>
        <v>95</v>
      </c>
      <c r="J3" s="41">
        <f>Dados!M15-J4-J5</f>
        <v>115</v>
      </c>
      <c r="K3" s="41">
        <f>Dados!N15-K4-K5</f>
        <v>136</v>
      </c>
      <c r="L3" s="41">
        <f>Dados!O15-L4-L5</f>
        <v>172</v>
      </c>
      <c r="M3" s="41">
        <f>Dados!P15-M4-M5</f>
        <v>185</v>
      </c>
      <c r="N3" s="41">
        <f>Dados!Q15-N4-N5</f>
        <v>171</v>
      </c>
      <c r="O3" s="41">
        <f>Dados!R15-O4-O5</f>
        <v>113</v>
      </c>
    </row>
    <row r="4" ht="12.75" customHeight="1">
      <c r="A4" s="38" t="s">
        <v>49</v>
      </c>
      <c r="B4" s="39">
        <f>Dados!E20</f>
        <v>24</v>
      </c>
      <c r="C4" s="39">
        <f>Dados!F20</f>
        <v>17</v>
      </c>
      <c r="D4" s="39">
        <f>Dados!G20</f>
        <v>31</v>
      </c>
      <c r="E4" s="39">
        <f>Dados!H20</f>
        <v>14</v>
      </c>
      <c r="F4" s="39">
        <f>Dados!I20</f>
        <v>11</v>
      </c>
      <c r="G4" s="39">
        <f>Dados!J20</f>
        <v>10</v>
      </c>
      <c r="H4" s="39">
        <f>Dados!K20</f>
        <v>15</v>
      </c>
      <c r="I4" s="39">
        <f>Dados!L20</f>
        <v>7</v>
      </c>
      <c r="J4" s="42">
        <f>Dados!M20</f>
        <v>12</v>
      </c>
      <c r="K4" s="39">
        <f>Dados!N20</f>
        <v>12</v>
      </c>
      <c r="L4" s="39">
        <f>Dados!O20</f>
        <v>26</v>
      </c>
      <c r="M4" s="39">
        <f>Dados!P20</f>
        <v>20</v>
      </c>
      <c r="N4" s="39">
        <f>Dados!Q20</f>
        <v>27</v>
      </c>
      <c r="O4" s="39">
        <f>Dados!R20</f>
        <v>17</v>
      </c>
    </row>
    <row r="5" ht="12.75" customHeight="1">
      <c r="A5" s="40" t="s">
        <v>10</v>
      </c>
      <c r="B5" s="43">
        <f>Dados!E21</f>
        <v>3</v>
      </c>
      <c r="C5" s="43">
        <f>Dados!F21</f>
        <v>3</v>
      </c>
      <c r="D5" s="43">
        <f>Dados!G21</f>
        <v>1</v>
      </c>
      <c r="E5" s="43">
        <f>Dados!H21</f>
        <v>0</v>
      </c>
      <c r="F5" s="43">
        <f>Dados!I21</f>
        <v>4</v>
      </c>
      <c r="G5" s="43">
        <f>Dados!J21</f>
        <v>1</v>
      </c>
      <c r="H5" s="43">
        <f>Dados!K21</f>
        <v>5</v>
      </c>
      <c r="I5" s="43">
        <f>Dados!L21</f>
        <v>5</v>
      </c>
      <c r="J5" s="43">
        <f>Dados!M21</f>
        <v>7</v>
      </c>
      <c r="K5" s="43">
        <f>Dados!N21</f>
        <v>3</v>
      </c>
      <c r="L5" s="43">
        <f>Dados!O21</f>
        <v>1</v>
      </c>
      <c r="M5" s="43">
        <f>Dados!P21</f>
        <v>2</v>
      </c>
      <c r="N5" s="43">
        <f>Dados!Q21</f>
        <v>8</v>
      </c>
      <c r="O5" s="43">
        <f>Dados!R21</f>
        <v>1</v>
      </c>
    </row>
    <row r="6" ht="12.75" customHeight="1"/>
    <row r="7" ht="12.75" customHeight="1">
      <c r="A7" s="44" t="s">
        <v>50</v>
      </c>
    </row>
    <row r="8" ht="12.75" customHeight="1">
      <c r="A8" s="38" t="s">
        <v>51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 ht="12.75" customHeight="1">
      <c r="A9" s="45" t="s">
        <v>49</v>
      </c>
      <c r="B9" s="46">
        <f>B4/Dados!E$15</f>
        <v>0.1038961039</v>
      </c>
      <c r="C9" s="46">
        <f>C4/Dados!F$15</f>
        <v>0.05802047782</v>
      </c>
      <c r="D9" s="46">
        <f>D4/Dados!G$15</f>
        <v>0.1856287425</v>
      </c>
      <c r="E9" s="46">
        <f>E4/Dados!H$15</f>
        <v>0.1238938053</v>
      </c>
      <c r="F9" s="46">
        <f>F4/Dados!I$15</f>
        <v>0.1235955056</v>
      </c>
      <c r="G9" s="46">
        <f>G4/Dados!J$15</f>
        <v>0.09615384615</v>
      </c>
      <c r="H9" s="46">
        <f>H4/Dados!K$15</f>
        <v>0.12</v>
      </c>
      <c r="I9" s="46">
        <f>I4/Dados!L$15</f>
        <v>0.06542056075</v>
      </c>
      <c r="J9" s="46">
        <f>J4/Dados!M$15</f>
        <v>0.08955223881</v>
      </c>
      <c r="K9" s="46">
        <f>K4/Dados!N$15</f>
        <v>0.07947019868</v>
      </c>
      <c r="L9" s="46">
        <f>L4/Dados!O$15</f>
        <v>0.1306532663</v>
      </c>
      <c r="M9" s="46">
        <f>M4/Dados!P$15</f>
        <v>0.09661835749</v>
      </c>
      <c r="N9" s="46">
        <f>N4/Dados!Q$15</f>
        <v>0.1310679612</v>
      </c>
      <c r="O9" s="46">
        <f>O4/Dados!R$15</f>
        <v>0.1297709924</v>
      </c>
    </row>
    <row r="10" ht="12.75" customHeight="1">
      <c r="A10" s="38" t="s">
        <v>10</v>
      </c>
      <c r="B10" s="47">
        <f>B5/Dados!E$15</f>
        <v>0.01298701299</v>
      </c>
      <c r="C10" s="47">
        <f>C5/Dados!F$15</f>
        <v>0.01023890785</v>
      </c>
      <c r="D10" s="47">
        <f>D5/Dados!G$15</f>
        <v>0.005988023952</v>
      </c>
      <c r="E10" s="47">
        <f>E5/Dados!H$15</f>
        <v>0</v>
      </c>
      <c r="F10" s="47">
        <f>F5/Dados!I$15</f>
        <v>0.04494382022</v>
      </c>
      <c r="G10" s="47">
        <f>G5/Dados!J$15</f>
        <v>0.009615384615</v>
      </c>
      <c r="H10" s="47">
        <f>H5/Dados!K$15</f>
        <v>0.04</v>
      </c>
      <c r="I10" s="47">
        <f>I5/Dados!L$15</f>
        <v>0.04672897196</v>
      </c>
      <c r="J10" s="47">
        <f>J5/Dados!M$15</f>
        <v>0.05223880597</v>
      </c>
      <c r="K10" s="47">
        <f>K5/Dados!N$15</f>
        <v>0.01986754967</v>
      </c>
      <c r="L10" s="47">
        <f>L5/Dados!O$15</f>
        <v>0.005025125628</v>
      </c>
      <c r="M10" s="47">
        <f>M5/Dados!P$15</f>
        <v>0.009661835749</v>
      </c>
      <c r="N10" s="47">
        <f>N5/Dados!Q$15</f>
        <v>0.03883495146</v>
      </c>
      <c r="O10" s="47">
        <f>O5/Dados!R$15</f>
        <v>0.007633587786</v>
      </c>
    </row>
    <row r="11" ht="12.75" customHeight="1"/>
    <row r="12" ht="12.75" customHeight="1">
      <c r="A12" s="48" t="str">
        <f>Dados!D19</f>
        <v>Característica</v>
      </c>
      <c r="B12" s="49" t="str">
        <f>Dados!T19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ht="12.75" customHeight="1">
      <c r="A13" s="48" t="str">
        <f>Dados!D20</f>
        <v>Mulher</v>
      </c>
      <c r="B13" s="49">
        <f>Dados!T20</f>
        <v>0.1076650421</v>
      </c>
    </row>
    <row r="14" ht="12.75" customHeight="1">
      <c r="A14" s="48" t="str">
        <f>Dados!D21</f>
        <v>Crianças e adolescentes</v>
      </c>
      <c r="B14" s="49">
        <f>Dados!T21</f>
        <v>0.01949490474</v>
      </c>
    </row>
    <row r="15" ht="12.75" customHeight="1">
      <c r="A15" s="48" t="str">
        <f>Dados!D22</f>
        <v>Capacete</v>
      </c>
      <c r="B15" s="49">
        <f>Dados!T22</f>
        <v>0.1072219761</v>
      </c>
    </row>
    <row r="16" ht="12.75" customHeight="1">
      <c r="A16" s="48" t="s">
        <v>12</v>
      </c>
      <c r="B16" s="49">
        <f>Dados!T23</f>
        <v>0.01949490474</v>
      </c>
    </row>
    <row r="17" ht="12.75" customHeight="1">
      <c r="A17" s="48" t="str">
        <f>Dados!D35</f>
        <v>Cargueira tradicional</v>
      </c>
      <c r="B17" s="49">
        <f>Dados!T24</f>
        <v>0.1001329198</v>
      </c>
    </row>
    <row r="18" ht="12.75" customHeight="1">
      <c r="A18" s="48" t="str">
        <f>Dados!D37</f>
        <v>Serviço</v>
      </c>
      <c r="B18" s="49">
        <f>Dados!T25</f>
        <v>0.1178555605</v>
      </c>
    </row>
    <row r="19" ht="12.75" customHeight="1">
      <c r="A19" s="48" t="str">
        <f>Dados!D39</f>
        <v>Contramão</v>
      </c>
      <c r="B19" s="49">
        <f>Dados!T26</f>
        <v>0.03633141338</v>
      </c>
    </row>
    <row r="20" ht="12.75" customHeight="1">
      <c r="A20" s="48" t="str">
        <f>Dados!D27</f>
        <v>Calçada</v>
      </c>
      <c r="B20" s="49">
        <f>Dados!T27</f>
        <v>0.02259636686</v>
      </c>
    </row>
    <row r="21" ht="12.75" customHeight="1">
      <c r="A21" s="50"/>
      <c r="B21" s="50"/>
    </row>
    <row r="22" ht="12.75" customHeight="1">
      <c r="A22" s="50"/>
      <c r="B22" s="50"/>
    </row>
    <row r="23" ht="12.75" customHeight="1">
      <c r="A23" s="50"/>
      <c r="B23" s="50"/>
    </row>
    <row r="24" ht="12.75" customHeight="1">
      <c r="A24" s="50"/>
      <c r="B24" s="50"/>
    </row>
    <row r="25" ht="12.75" customHeight="1">
      <c r="A25" s="50"/>
      <c r="B25" s="50"/>
    </row>
    <row r="26" ht="12.75" customHeight="1">
      <c r="A26" s="50"/>
      <c r="B26" s="50"/>
    </row>
    <row r="27" ht="12.75" customHeight="1">
      <c r="A27" s="50"/>
      <c r="B27" s="50"/>
    </row>
    <row r="28" ht="12.75" customHeight="1">
      <c r="A28" s="50"/>
      <c r="B28" s="50"/>
    </row>
    <row r="29" ht="12.75" customHeight="1">
      <c r="A29" s="50"/>
      <c r="B29" s="50"/>
    </row>
    <row r="30" ht="12.75" customHeight="1"/>
    <row r="31" ht="12.75" customHeight="1"/>
    <row r="32" ht="12.75" customHeight="1"/>
    <row r="33" ht="12.75" customHeight="1"/>
    <row r="34" ht="12.75" customHeight="1">
      <c r="A34" s="50"/>
      <c r="B34" s="51"/>
    </row>
    <row r="35" ht="12.75" customHeight="1">
      <c r="A35" s="50"/>
      <c r="B35" s="51"/>
    </row>
    <row r="36" ht="12.75" customHeight="1">
      <c r="A36" s="50"/>
      <c r="B36" s="51"/>
    </row>
    <row r="37" ht="12.75" customHeight="1">
      <c r="A37" s="50"/>
      <c r="B37" s="51"/>
    </row>
    <row r="38" ht="12.75" customHeight="1">
      <c r="A38" s="50"/>
      <c r="B38" s="51"/>
    </row>
    <row r="39" ht="12.75" customHeight="1">
      <c r="A39" s="50"/>
      <c r="B39" s="51"/>
    </row>
    <row r="40" ht="12.75" customHeight="1">
      <c r="A40" s="50"/>
      <c r="B40" s="51"/>
    </row>
    <row r="41" ht="12.75" customHeight="1">
      <c r="A41" s="50"/>
      <c r="B41" s="51"/>
    </row>
    <row r="42" ht="12.75" customHeight="1">
      <c r="A42" s="50"/>
      <c r="B42" s="51"/>
    </row>
    <row r="43" ht="12.75" customHeight="1">
      <c r="A43" s="48"/>
      <c r="B43" s="49"/>
    </row>
    <row r="44" ht="12.75" customHeight="1">
      <c r="A44" s="48"/>
      <c r="B44" s="49"/>
    </row>
    <row r="45" ht="12.75" customHeight="1">
      <c r="A45" s="48"/>
      <c r="B45" s="49"/>
    </row>
    <row r="46" ht="12.75" customHeight="1">
      <c r="A46" s="48"/>
      <c r="B46" s="49"/>
    </row>
    <row r="47" ht="12.75" customHeight="1">
      <c r="A47" s="48"/>
      <c r="B47" s="49"/>
    </row>
    <row r="48" ht="12.75" customHeight="1">
      <c r="A48" s="48"/>
      <c r="B48" s="49"/>
    </row>
    <row r="49" ht="12.75" customHeight="1">
      <c r="A49" s="48"/>
      <c r="B49" s="49"/>
    </row>
    <row r="50" ht="12.75" customHeight="1">
      <c r="A50" s="48"/>
      <c r="B50" s="49"/>
    </row>
    <row r="51" ht="12.75" customHeight="1">
      <c r="A51" s="48"/>
      <c r="B51" s="49"/>
    </row>
    <row r="52" ht="12.75" customHeight="1">
      <c r="A52" s="48"/>
      <c r="B52" s="49"/>
    </row>
    <row r="53" ht="12.75" customHeight="1">
      <c r="A53" s="48"/>
      <c r="B53" s="49"/>
    </row>
    <row r="54" ht="12.75" customHeight="1">
      <c r="A54" s="48"/>
      <c r="B54" s="49"/>
    </row>
    <row r="55" ht="12.75" customHeight="1">
      <c r="A55" s="48"/>
      <c r="B55" s="49"/>
    </row>
    <row r="56" ht="12.75" customHeight="1">
      <c r="A56" s="48"/>
      <c r="B56" s="49"/>
    </row>
    <row r="57" ht="12.75" customHeight="1">
      <c r="A57" s="48"/>
      <c r="B57" s="49"/>
    </row>
    <row r="58" ht="12.75" customHeight="1">
      <c r="A58" s="48"/>
      <c r="B58" s="49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.43"/>
    <col customWidth="1" min="3" max="3" width="4.43"/>
    <col customWidth="1" min="4" max="4" width="5.71"/>
    <col customWidth="1" min="5" max="7" width="13.0"/>
    <col customWidth="1" min="8" max="8" width="5.0"/>
    <col customWidth="1" min="9" max="9" width="5.14"/>
    <col customWidth="1" min="10" max="11" width="4.43"/>
  </cols>
  <sheetData>
    <row r="1" ht="22.5" customHeight="1">
      <c r="A1" s="52" t="s">
        <v>52</v>
      </c>
      <c r="B1" s="53"/>
      <c r="C1" s="54"/>
      <c r="D1" s="55"/>
      <c r="E1" s="56" t="str">
        <f>UPPER(CONFFLUXO!A3)</f>
        <v>RUI BARBOSA</v>
      </c>
      <c r="F1" s="53"/>
      <c r="G1" s="54"/>
      <c r="H1" s="55"/>
      <c r="I1" s="55"/>
      <c r="J1" s="55"/>
      <c r="K1" s="55"/>
    </row>
    <row r="2" ht="22.5" customHeight="1">
      <c r="A2" s="57" t="s">
        <v>20</v>
      </c>
      <c r="B2" s="53"/>
      <c r="C2" s="54"/>
      <c r="D2" s="55"/>
      <c r="E2" s="58">
        <f>SUM(E3:G3)</f>
        <v>22</v>
      </c>
      <c r="F2" s="53"/>
      <c r="G2" s="54"/>
      <c r="H2" s="55"/>
      <c r="I2" s="55"/>
      <c r="J2" s="55"/>
      <c r="K2" s="55"/>
    </row>
    <row r="3" ht="22.5" customHeight="1">
      <c r="A3" s="59"/>
      <c r="B3" s="59"/>
      <c r="C3" s="59"/>
      <c r="D3" s="60"/>
      <c r="E3" s="61">
        <f>CONFFLUXO!Q3</f>
        <v>10</v>
      </c>
      <c r="F3" s="61">
        <f>CONFFLUXO!Q4</f>
        <v>1</v>
      </c>
      <c r="G3" s="61">
        <f>CONFFLUXO!Q5</f>
        <v>11</v>
      </c>
      <c r="H3" s="55"/>
      <c r="I3" s="55"/>
      <c r="J3" s="55"/>
      <c r="K3" s="55"/>
    </row>
    <row r="4" ht="25.5" customHeight="1">
      <c r="A4" s="62"/>
      <c r="B4" s="62"/>
      <c r="C4" s="59"/>
      <c r="D4" s="59"/>
      <c r="E4" s="55"/>
      <c r="F4" s="55"/>
      <c r="G4" s="55"/>
      <c r="H4" s="63"/>
      <c r="I4" s="63"/>
      <c r="J4" s="64"/>
      <c r="K4" s="64"/>
    </row>
    <row r="5" ht="71.25" customHeight="1">
      <c r="A5" s="65" t="str">
        <f>UPPER(CONFFLUXO!A12)</f>
        <v>JAQUEIRA</v>
      </c>
      <c r="B5" s="66">
        <f>SUM(C5:C7)</f>
        <v>158</v>
      </c>
      <c r="C5" s="67">
        <f>CONFFLUXO!Q14</f>
        <v>2</v>
      </c>
      <c r="D5" s="59"/>
      <c r="E5" s="55"/>
      <c r="F5" s="55"/>
      <c r="G5" s="55"/>
      <c r="H5" s="63"/>
      <c r="I5" s="68">
        <f>CONFFLUXO!Q6</f>
        <v>128</v>
      </c>
      <c r="J5" s="69">
        <f>SUM(I5:I7)</f>
        <v>729</v>
      </c>
      <c r="K5" s="70" t="str">
        <f>UPPER(CONFFLUXO!A6)</f>
        <v>PARNAMIRIM</v>
      </c>
    </row>
    <row r="6" ht="71.25" customHeight="1">
      <c r="A6" s="71"/>
      <c r="B6" s="71"/>
      <c r="C6" s="67">
        <f>CONFFLUXO!Q13</f>
        <v>148</v>
      </c>
      <c r="D6" s="59"/>
      <c r="E6" s="55"/>
      <c r="F6" s="72">
        <f>SUM(E3:G3,I5:I7,E9:G9,C5:C7)</f>
        <v>2257</v>
      </c>
      <c r="G6" s="55"/>
      <c r="H6" s="63"/>
      <c r="I6" s="68">
        <f>CONFFLUXO!Q7</f>
        <v>572</v>
      </c>
      <c r="J6" s="71"/>
      <c r="K6" s="71"/>
    </row>
    <row r="7" ht="71.25" customHeight="1">
      <c r="A7" s="73"/>
      <c r="B7" s="73"/>
      <c r="C7" s="67">
        <f>CONFFLUXO!Q12</f>
        <v>8</v>
      </c>
      <c r="D7" s="59"/>
      <c r="E7" s="55"/>
      <c r="F7" s="55"/>
      <c r="G7" s="55"/>
      <c r="H7" s="63"/>
      <c r="I7" s="68">
        <f>CONFFLUXO!Q8</f>
        <v>29</v>
      </c>
      <c r="J7" s="73"/>
      <c r="K7" s="73"/>
    </row>
    <row r="8" ht="27.0" customHeight="1">
      <c r="A8" s="59"/>
      <c r="B8" s="59"/>
      <c r="C8" s="59"/>
      <c r="D8" s="59"/>
      <c r="E8" s="55"/>
      <c r="F8" s="55"/>
      <c r="G8" s="55"/>
      <c r="H8" s="55"/>
      <c r="I8" s="55"/>
      <c r="J8" s="55"/>
      <c r="K8" s="55"/>
    </row>
    <row r="9" ht="22.5" customHeight="1">
      <c r="A9" s="59"/>
      <c r="B9" s="59"/>
      <c r="C9" s="74"/>
      <c r="D9" s="74"/>
      <c r="E9" s="75">
        <f>CONFFLUXO!Q11</f>
        <v>6</v>
      </c>
      <c r="F9" s="75">
        <f>CONFFLUXO!Q10</f>
        <v>749</v>
      </c>
      <c r="G9" s="75">
        <f>CONFFLUXO!Q9</f>
        <v>593</v>
      </c>
      <c r="H9" s="55"/>
      <c r="I9" s="55"/>
      <c r="J9" s="55"/>
      <c r="K9" s="55"/>
    </row>
    <row r="10" ht="22.5" customHeight="1">
      <c r="A10" s="59"/>
      <c r="B10" s="59"/>
      <c r="C10" s="59"/>
      <c r="D10" s="59"/>
      <c r="E10" s="58">
        <f>SUM(E9:G9)</f>
        <v>1348</v>
      </c>
      <c r="F10" s="53"/>
      <c r="G10" s="54"/>
      <c r="H10" s="55"/>
      <c r="I10" s="55"/>
      <c r="J10" s="55"/>
      <c r="K10" s="55"/>
    </row>
    <row r="11" ht="22.5" customHeight="1">
      <c r="A11" s="59"/>
      <c r="B11" s="59"/>
      <c r="C11" s="59"/>
      <c r="D11" s="59"/>
      <c r="E11" s="56" t="str">
        <f>UPPER(CONFFLUXO!A9)</f>
        <v>PADRE ROMA</v>
      </c>
      <c r="F11" s="53"/>
      <c r="G11" s="54"/>
      <c r="H11" s="55"/>
      <c r="I11" s="55"/>
      <c r="J11" s="55"/>
      <c r="K11" s="76">
        <f>MAX(3:3,I:I,9:9,C:C)</f>
        <v>749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2.75" customHeight="1">
      <c r="A1" s="77" t="s">
        <v>53</v>
      </c>
      <c r="B1" s="6"/>
    </row>
    <row r="2" ht="12.75" customHeight="1">
      <c r="A2" s="77" t="s">
        <v>54</v>
      </c>
      <c r="B2" s="6"/>
    </row>
    <row r="3" ht="12.75" customHeight="1">
      <c r="A3" s="77" t="s">
        <v>55</v>
      </c>
      <c r="B3" s="6"/>
    </row>
    <row r="4" ht="12.75" customHeight="1">
      <c r="A4" s="77" t="s">
        <v>56</v>
      </c>
      <c r="B4" s="6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