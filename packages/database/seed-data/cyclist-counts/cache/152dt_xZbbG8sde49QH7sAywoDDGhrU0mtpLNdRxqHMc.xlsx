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mo" sheetId="1" r:id="rId4"/>
    <sheet state="visible" name="Dados" sheetId="2" r:id="rId5"/>
    <sheet state="hidden" name="CONFFLUXO" sheetId="3" r:id="rId6"/>
    <sheet state="visible" name="Gráficos" sheetId="4" r:id="rId7"/>
    <sheet state="visible" name="Fluxo" sheetId="5" r:id="rId8"/>
  </sheets>
  <definedNames/>
  <calcPr/>
</workbook>
</file>

<file path=xl/sharedStrings.xml><?xml version="1.0" encoding="utf-8"?>
<sst xmlns="http://schemas.openxmlformats.org/spreadsheetml/2006/main" count="84" uniqueCount="45">
  <si>
    <t>Cruzamento</t>
  </si>
  <si>
    <t>R. Arquiteto Luiz Nunes X R. Eng. Alves de Souza</t>
  </si>
  <si>
    <t>Data</t>
  </si>
  <si>
    <t>Coordenadas Geográficas</t>
  </si>
  <si>
    <t>-8.09803, -34.91224</t>
  </si>
  <si>
    <t>Relatório</t>
  </si>
  <si>
    <t>Total</t>
  </si>
  <si>
    <t>Máximo em um hora</t>
  </si>
  <si>
    <t>Mulher</t>
  </si>
  <si>
    <t>Crianças e adolescentes</t>
  </si>
  <si>
    <t>Capacete</t>
  </si>
  <si>
    <t>Caronas</t>
  </si>
  <si>
    <t>Cargueiras</t>
  </si>
  <si>
    <t>Serviço</t>
  </si>
  <si>
    <t>Contramão</t>
  </si>
  <si>
    <t>Calçada</t>
  </si>
  <si>
    <t>Dados quantitativos e sentido de deslocamento</t>
  </si>
  <si>
    <t>ORIGEM</t>
  </si>
  <si>
    <t>DESTINO</t>
  </si>
  <si>
    <t>TOTAL</t>
  </si>
  <si>
    <t>%</t>
  </si>
  <si>
    <t>Centro</t>
  </si>
  <si>
    <t>Lagoa do Araçá</t>
  </si>
  <si>
    <t>Jaboatão</t>
  </si>
  <si>
    <t>Boa Viagem</t>
  </si>
  <si>
    <t>Percentual</t>
  </si>
  <si>
    <t>Dados qualitativos padrões</t>
  </si>
  <si>
    <t>Característica</t>
  </si>
  <si>
    <t>Carona criança</t>
  </si>
  <si>
    <t>Cargueira</t>
  </si>
  <si>
    <t>Contramao</t>
  </si>
  <si>
    <t>Dados qualitativos das observações</t>
  </si>
  <si>
    <t>Chuveu</t>
  </si>
  <si>
    <t>Contramão para conversão</t>
  </si>
  <si>
    <t>Triciclo</t>
  </si>
  <si>
    <t>Eletrica</t>
  </si>
  <si>
    <t>Skate</t>
  </si>
  <si>
    <t>Handbike</t>
  </si>
  <si>
    <t>Ciclistas por hora</t>
  </si>
  <si>
    <t>Horário início</t>
  </si>
  <si>
    <t xml:space="preserve">Homens
</t>
  </si>
  <si>
    <t>Mulheres</t>
  </si>
  <si>
    <t>Ciclistas por hora %</t>
  </si>
  <si>
    <t>Horário</t>
  </si>
  <si>
    <t>HORÁRIO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</si>
</sst>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&quot;/&quot;mm&quot;/&quot;yyyy"/>
    <numFmt numFmtId="165" formatCode="0.0%"/>
  </numFmts>
  <fonts count="12">
    <font>
      <sz val="10.0"/>
      <color rgb="FF000000"/>
      <name val="Arial"/>
    </font>
    <font>
      <b/>
      <sz val="12.0"/>
      <color rgb="FFFFFFFF"/>
      <name val="Ubuntu"/>
    </font>
    <font>
      <sz val="12.0"/>
      <name val="Ubuntu"/>
    </font>
    <font>
      <sz val="12.0"/>
      <color rgb="FF000000"/>
      <name val="Ubuntu"/>
    </font>
    <font>
      <sz val="12.0"/>
      <color rgb="FFFFFFFF"/>
      <name val="Ubuntu"/>
    </font>
    <font>
      <b/>
      <sz val="12.0"/>
      <color rgb="FF000000"/>
      <name val="Ubuntu"/>
    </font>
    <font/>
    <font>
      <sz val="14.0"/>
      <name val="Ubuntu"/>
    </font>
    <font>
      <b/>
      <sz val="14.0"/>
      <color rgb="FFFFFFFF"/>
      <name val="Ubuntu"/>
    </font>
    <font>
      <b/>
      <sz val="14.0"/>
      <name val="Ubuntu"/>
    </font>
    <font>
      <b/>
      <sz val="18.0"/>
      <color rgb="FFFFFFFF"/>
      <name val="Ubuntu"/>
    </font>
    <font>
      <sz val="14.0"/>
      <color rgb="FFFFFFFF"/>
      <name val="Ubuntu"/>
    </font>
  </fonts>
  <fills count="9">
    <fill>
      <patternFill patternType="none"/>
    </fill>
    <fill>
      <patternFill patternType="lightGray"/>
    </fill>
    <fill>
      <patternFill patternType="solid">
        <fgColor rgb="FF26A69A"/>
        <bgColor rgb="FF26A69A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F46524"/>
        <bgColor rgb="FFF46524"/>
      </patternFill>
    </fill>
    <fill>
      <patternFill patternType="solid">
        <fgColor rgb="FFFFE6DD"/>
        <bgColor rgb="FFFFE6DD"/>
      </patternFill>
    </fill>
    <fill>
      <patternFill patternType="solid">
        <fgColor rgb="FF63D297"/>
        <bgColor rgb="FF63D297"/>
      </patternFill>
    </fill>
    <fill>
      <patternFill patternType="solid">
        <fgColor rgb="FFE7F9EF"/>
        <bgColor rgb="FFE7F9EF"/>
      </patternFill>
    </fill>
  </fills>
  <borders count="10">
    <border/>
    <border>
      <top/>
    </border>
    <border>
      <bottom/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FFFFFF"/>
      </left>
      <right style="thin">
        <color rgb="FFFFFFFF"/>
      </right>
    </border>
    <border>
      <left style="thin">
        <color rgb="FFFFFFFF"/>
      </left>
      <right style="thin">
        <color rgb="FFFFFFFF"/>
      </right>
      <bottom style="thin">
        <color rgb="FFFFFFFF"/>
      </bottom>
    </border>
  </borders>
  <cellStyleXfs count="1">
    <xf borderId="0" fillId="0" fontId="0" numFmtId="0" applyAlignment="1" applyFont="1"/>
  </cellStyleXfs>
  <cellXfs count="76">
    <xf borderId="0" fillId="0" fontId="0" numFmtId="0" xfId="0" applyAlignment="1" applyFont="1">
      <alignment readingOrder="0" shrinkToFit="0" vertical="bottom" wrapText="1"/>
    </xf>
    <xf borderId="0" fillId="2" fontId="1" numFmtId="0" xfId="0" applyAlignment="1" applyFill="1" applyFont="1">
      <alignment shrinkToFit="0" wrapText="1"/>
    </xf>
    <xf borderId="0" fillId="0" fontId="2" numFmtId="0" xfId="0" applyAlignment="1" applyFont="1">
      <alignment readingOrder="0" shrinkToFit="0" wrapText="1"/>
    </xf>
    <xf borderId="0" fillId="0" fontId="2" numFmtId="164" xfId="0" applyAlignment="1" applyFont="1" applyNumberFormat="1">
      <alignment readingOrder="0" shrinkToFit="0" wrapText="1"/>
    </xf>
    <xf borderId="0" fillId="2" fontId="1" numFmtId="0" xfId="0" applyAlignment="1" applyFont="1">
      <alignment readingOrder="0" shrinkToFit="0" wrapText="1"/>
    </xf>
    <xf borderId="0" fillId="0" fontId="2" numFmtId="0" xfId="0" applyAlignment="1" applyFont="1">
      <alignment horizontal="right" readingOrder="0" shrinkToFit="0" wrapText="1"/>
    </xf>
    <xf borderId="0" fillId="0" fontId="2" numFmtId="0" xfId="0" applyAlignment="1" applyFont="1">
      <alignment shrinkToFit="0" wrapText="1"/>
    </xf>
    <xf borderId="0" fillId="2" fontId="1" numFmtId="0" xfId="0" applyAlignment="1" applyFont="1">
      <alignment shrinkToFit="0" vertical="bottom" wrapText="1"/>
    </xf>
    <xf borderId="0" fillId="0" fontId="2" numFmtId="165" xfId="0" applyAlignment="1" applyFont="1" applyNumberFormat="1">
      <alignment horizontal="right" shrinkToFit="0" vertical="bottom" wrapText="1"/>
    </xf>
    <xf borderId="0" fillId="2" fontId="1" numFmtId="0" xfId="0" applyAlignment="1" applyFont="1">
      <alignment horizontal="center" readingOrder="0" shrinkToFit="0" wrapText="0"/>
    </xf>
    <xf borderId="0" fillId="3" fontId="1" numFmtId="0" xfId="0" applyAlignment="1" applyFill="1" applyFont="1">
      <alignment readingOrder="0" shrinkToFit="0" vertical="bottom" wrapText="0"/>
    </xf>
    <xf borderId="0" fillId="3" fontId="1" numFmtId="0" xfId="0" applyAlignment="1" applyFont="1">
      <alignment horizontal="center" readingOrder="0" shrinkToFit="0" vertical="center" wrapText="0"/>
    </xf>
    <xf borderId="0" fillId="3" fontId="1" numFmtId="0" xfId="0" applyAlignment="1" applyFont="1">
      <alignment horizontal="center" readingOrder="0" shrinkToFit="0" vertical="center" wrapText="0"/>
    </xf>
    <xf borderId="0" fillId="2" fontId="1" numFmtId="165" xfId="0" applyAlignment="1" applyFont="1" applyNumberFormat="1">
      <alignment horizontal="center" readingOrder="0" shrinkToFit="0" vertical="center" wrapText="0"/>
    </xf>
    <xf borderId="0" fillId="0" fontId="3" numFmtId="0" xfId="0" applyAlignment="1" applyFont="1">
      <alignment readingOrder="0" shrinkToFit="0" vertical="bottom" wrapText="0"/>
    </xf>
    <xf borderId="1" fillId="0" fontId="2" numFmtId="0" xfId="0" applyAlignment="1" applyBorder="1" applyFont="1">
      <alignment horizontal="center" shrinkToFit="0" vertical="bottom" wrapText="1"/>
    </xf>
    <xf borderId="0" fillId="3" fontId="1" numFmtId="0" xfId="0" applyAlignment="1" applyFont="1">
      <alignment horizontal="center" shrinkToFit="0" vertical="center" wrapText="0"/>
    </xf>
    <xf borderId="0" fillId="2" fontId="1" numFmtId="165" xfId="0" applyAlignment="1" applyFont="1" applyNumberFormat="1">
      <alignment horizontal="center" shrinkToFit="0" vertical="center" wrapText="0"/>
    </xf>
    <xf borderId="0" fillId="0" fontId="2" numFmtId="0" xfId="0" applyAlignment="1" applyFont="1">
      <alignment horizontal="center" shrinkToFit="0" vertical="bottom" wrapText="1"/>
    </xf>
    <xf borderId="2" fillId="0" fontId="2" numFmtId="0" xfId="0" applyAlignment="1" applyBorder="1" applyFont="1">
      <alignment horizontal="center" shrinkToFit="0" vertical="bottom" wrapText="1"/>
    </xf>
    <xf borderId="0" fillId="3" fontId="1" numFmtId="0" xfId="0" applyAlignment="1" applyFont="1">
      <alignment readingOrder="0" shrinkToFit="0" vertical="bottom" wrapText="0"/>
    </xf>
    <xf borderId="0" fillId="2" fontId="1" numFmtId="10" xfId="0" applyAlignment="1" applyFont="1" applyNumberFormat="1">
      <alignment readingOrder="0" shrinkToFit="0" vertical="bottom" wrapText="0"/>
    </xf>
    <xf borderId="0" fillId="2" fontId="1" numFmtId="10" xfId="0" applyAlignment="1" applyFont="1" applyNumberFormat="1">
      <alignment horizontal="center" shrinkToFit="0" vertical="center" wrapText="0"/>
    </xf>
    <xf borderId="0" fillId="4" fontId="1" numFmtId="10" xfId="0" applyAlignment="1" applyFill="1" applyFont="1" applyNumberFormat="1">
      <alignment readingOrder="0" shrinkToFit="0" vertical="bottom" wrapText="0"/>
    </xf>
    <xf borderId="0" fillId="4" fontId="4" numFmtId="10" xfId="0" applyAlignment="1" applyFont="1" applyNumberFormat="1">
      <alignment horizontal="center" shrinkToFit="0" vertical="center" wrapText="0"/>
    </xf>
    <xf borderId="0" fillId="4" fontId="4" numFmtId="165" xfId="0" applyAlignment="1" applyFont="1" applyNumberFormat="1">
      <alignment horizontal="center" shrinkToFit="0" vertical="center" wrapText="0"/>
    </xf>
    <xf borderId="0" fillId="2" fontId="1" numFmtId="0" xfId="0" applyAlignment="1" applyFont="1">
      <alignment readingOrder="0" shrinkToFit="0" vertical="bottom" wrapText="0"/>
    </xf>
    <xf borderId="0" fillId="2" fontId="5" numFmtId="0" xfId="0" applyAlignment="1" applyFont="1">
      <alignment readingOrder="0" shrinkToFit="0" vertical="bottom" wrapText="0"/>
    </xf>
    <xf borderId="0" fillId="0" fontId="3" numFmtId="0" xfId="0" applyAlignment="1" applyFont="1">
      <alignment readingOrder="0" shrinkToFit="0" vertical="bottom" wrapText="1"/>
    </xf>
    <xf borderId="0" fillId="0" fontId="3" numFmtId="0" xfId="0" applyAlignment="1" applyFont="1">
      <alignment readingOrder="0" shrinkToFit="0" vertical="bottom" wrapText="0"/>
    </xf>
    <xf borderId="0" fillId="0" fontId="3" numFmtId="0" xfId="0" applyAlignment="1" applyFont="1">
      <alignment horizontal="center" shrinkToFit="0" vertical="center" wrapText="0"/>
    </xf>
    <xf borderId="0" fillId="0" fontId="3" numFmtId="165" xfId="0" applyAlignment="1" applyFont="1" applyNumberFormat="1">
      <alignment horizontal="center" shrinkToFit="0" vertical="center" wrapText="0"/>
    </xf>
    <xf borderId="0" fillId="0" fontId="3" numFmtId="0" xfId="0" applyAlignment="1" applyFont="1">
      <alignment horizontal="center" readingOrder="0" shrinkToFit="0" vertical="center" wrapText="0"/>
    </xf>
    <xf borderId="0" fillId="0" fontId="3" numFmtId="0" xfId="0" applyAlignment="1" applyFont="1">
      <alignment readingOrder="0" shrinkToFit="0" vertical="bottom" wrapText="0"/>
    </xf>
    <xf borderId="0" fillId="0" fontId="3" numFmtId="0" xfId="0" applyAlignment="1" applyFont="1">
      <alignment horizontal="center" readingOrder="0" shrinkToFit="0" vertical="center" wrapText="0"/>
    </xf>
    <xf borderId="0" fillId="0" fontId="6" numFmtId="0" xfId="0" applyAlignment="1" applyFont="1">
      <alignment readingOrder="0" shrinkToFit="0" wrapText="1"/>
    </xf>
    <xf borderId="0" fillId="0" fontId="6" numFmtId="165" xfId="0" applyAlignment="1" applyFont="1" applyNumberFormat="1">
      <alignment shrinkToFit="0" wrapText="1"/>
    </xf>
    <xf borderId="0" fillId="5" fontId="6" numFmtId="0" xfId="0" applyAlignment="1" applyFill="1" applyFont="1">
      <alignment horizontal="center" readingOrder="0" shrinkToFit="0" wrapText="1"/>
    </xf>
    <xf borderId="0" fillId="4" fontId="6" numFmtId="0" xfId="0" applyAlignment="1" applyFont="1">
      <alignment readingOrder="0" shrinkToFit="0" wrapText="1"/>
    </xf>
    <xf borderId="0" fillId="4" fontId="6" numFmtId="0" xfId="0" applyAlignment="1" applyFont="1">
      <alignment shrinkToFit="0" wrapText="1"/>
    </xf>
    <xf borderId="0" fillId="6" fontId="6" numFmtId="0" xfId="0" applyAlignment="1" applyFill="1" applyFont="1">
      <alignment readingOrder="0" shrinkToFit="0" wrapText="1"/>
    </xf>
    <xf borderId="0" fillId="6" fontId="6" numFmtId="0" xfId="0" applyAlignment="1" applyFont="1">
      <alignment shrinkToFit="0" wrapText="1"/>
    </xf>
    <xf borderId="0" fillId="7" fontId="6" numFmtId="0" xfId="0" applyAlignment="1" applyFill="1" applyFont="1">
      <alignment horizontal="center" readingOrder="0" shrinkToFit="0" wrapText="1"/>
    </xf>
    <xf borderId="0" fillId="4" fontId="6" numFmtId="0" xfId="0" applyAlignment="1" applyFont="1">
      <alignment readingOrder="0" shrinkToFit="0" wrapText="1"/>
    </xf>
    <xf borderId="0" fillId="8" fontId="6" numFmtId="0" xfId="0" applyAlignment="1" applyFill="1" applyFont="1">
      <alignment readingOrder="0" shrinkToFit="0" wrapText="1"/>
    </xf>
    <xf borderId="0" fillId="8" fontId="6" numFmtId="165" xfId="0" applyAlignment="1" applyFont="1" applyNumberFormat="1">
      <alignment shrinkToFit="0" wrapText="1"/>
    </xf>
    <xf borderId="0" fillId="4" fontId="6" numFmtId="165" xfId="0" applyAlignment="1" applyFont="1" applyNumberFormat="1">
      <alignment shrinkToFit="0" wrapText="1"/>
    </xf>
    <xf borderId="0" fillId="0" fontId="6" numFmtId="0" xfId="0" applyAlignment="1" applyFont="1">
      <alignment horizontal="center" readingOrder="0" shrinkToFit="0" wrapText="1"/>
    </xf>
    <xf borderId="0" fillId="0" fontId="6" numFmtId="165" xfId="0" applyAlignment="1" applyFont="1" applyNumberFormat="1">
      <alignment horizontal="center" readingOrder="0" shrinkToFit="0" wrapText="1"/>
    </xf>
    <xf borderId="0" fillId="0" fontId="6" numFmtId="0" xfId="0" applyAlignment="1" applyFont="1">
      <alignment horizontal="center" readingOrder="0" shrinkToFit="0" wrapText="1"/>
    </xf>
    <xf borderId="3" fillId="0" fontId="7" numFmtId="0" xfId="0" applyAlignment="1" applyBorder="1" applyFont="1">
      <alignment horizontal="center" readingOrder="0" shrinkToFit="0" textRotation="0" vertical="center" wrapText="1"/>
    </xf>
    <xf borderId="4" fillId="0" fontId="6" numFmtId="0" xfId="0" applyAlignment="1" applyBorder="1" applyFont="1">
      <alignment shrinkToFit="0" wrapText="1"/>
    </xf>
    <xf borderId="5" fillId="0" fontId="6" numFmtId="0" xfId="0" applyAlignment="1" applyBorder="1" applyFont="1">
      <alignment shrinkToFit="0" wrapText="1"/>
    </xf>
    <xf borderId="6" fillId="0" fontId="7" numFmtId="0" xfId="0" applyAlignment="1" applyBorder="1" applyFont="1">
      <alignment horizontal="center" readingOrder="0" shrinkToFit="0" textRotation="0" vertical="center" wrapText="1"/>
    </xf>
    <xf borderId="3" fillId="2" fontId="8" numFmtId="0" xfId="0" applyAlignment="1" applyBorder="1" applyFont="1">
      <alignment horizontal="center" readingOrder="0" shrinkToFit="0" vertical="center" wrapText="1"/>
    </xf>
    <xf borderId="6" fillId="0" fontId="7" numFmtId="0" xfId="0" applyAlignment="1" applyBorder="1" applyFont="1">
      <alignment horizontal="center" shrinkToFit="0" vertical="center" wrapText="1"/>
    </xf>
    <xf borderId="3" fillId="3" fontId="8" numFmtId="0" xfId="0" applyAlignment="1" applyBorder="1" applyFont="1">
      <alignment horizontal="center" shrinkToFit="0" vertical="center" wrapText="1"/>
    </xf>
    <xf borderId="6" fillId="0" fontId="7" numFmtId="0" xfId="0" applyAlignment="1" applyBorder="1" applyFont="1">
      <alignment horizontal="center" shrinkToFit="0" textRotation="90" vertical="center" wrapText="1"/>
    </xf>
    <xf borderId="6" fillId="0" fontId="7" numFmtId="0" xfId="0" applyAlignment="1" applyBorder="1" applyFont="1">
      <alignment horizontal="center" shrinkToFit="0" textRotation="90" vertical="bottom" wrapText="1"/>
    </xf>
    <xf borderId="6" fillId="0" fontId="7" numFmtId="0" xfId="0" applyAlignment="1" applyBorder="1" applyFont="1">
      <alignment horizontal="center" shrinkToFit="0" vertical="bottom" wrapText="1"/>
    </xf>
    <xf borderId="6" fillId="0" fontId="9" numFmtId="0" xfId="0" applyAlignment="1" applyBorder="1" applyFont="1">
      <alignment horizontal="center" readingOrder="0" shrinkToFit="0" textRotation="90" vertical="center" wrapText="1"/>
    </xf>
    <xf borderId="6" fillId="0" fontId="7" numFmtId="0" xfId="0" applyAlignment="1" applyBorder="1" applyFont="1">
      <alignment horizontal="center" shrinkToFit="0" textRotation="180" vertical="center" wrapText="1"/>
    </xf>
    <xf borderId="6" fillId="0" fontId="9" numFmtId="0" xfId="0" applyAlignment="1" applyBorder="1" applyFont="1">
      <alignment horizontal="center" readingOrder="0" shrinkToFit="0" textRotation="180" vertical="center" wrapText="1"/>
    </xf>
    <xf borderId="7" fillId="2" fontId="8" numFmtId="0" xfId="0" applyAlignment="1" applyBorder="1" applyFont="1">
      <alignment horizontal="center" readingOrder="0" shrinkToFit="0" textRotation="90" vertical="center" wrapText="1"/>
    </xf>
    <xf borderId="7" fillId="3" fontId="8" numFmtId="0" xfId="0" applyAlignment="1" applyBorder="1" applyFont="1">
      <alignment horizontal="center" readingOrder="0" shrinkToFit="0" textRotation="90" vertical="center" wrapText="1"/>
    </xf>
    <xf borderId="6" fillId="0" fontId="7" numFmtId="0" xfId="0" applyAlignment="1" applyBorder="1" applyFont="1">
      <alignment horizontal="right" shrinkToFit="0" textRotation="90" vertical="center" wrapText="1"/>
    </xf>
    <xf borderId="6" fillId="0" fontId="7" numFmtId="0" xfId="0" applyAlignment="1" applyBorder="1" applyFont="1">
      <alignment horizontal="left" shrinkToFit="0" textRotation="180" vertical="center" wrapText="1"/>
    </xf>
    <xf borderId="7" fillId="3" fontId="8" numFmtId="0" xfId="0" applyAlignment="1" applyBorder="1" applyFont="1">
      <alignment horizontal="center" readingOrder="0" shrinkToFit="0" textRotation="180" vertical="center" wrapText="1"/>
    </xf>
    <xf borderId="7" fillId="2" fontId="8" numFmtId="0" xfId="0" applyAlignment="1" applyBorder="1" applyFont="1">
      <alignment horizontal="center" readingOrder="0" shrinkToFit="0" textRotation="180" vertical="center" wrapText="1"/>
    </xf>
    <xf borderId="8" fillId="0" fontId="6" numFmtId="0" xfId="0" applyAlignment="1" applyBorder="1" applyFont="1">
      <alignment shrinkToFit="0" wrapText="1"/>
    </xf>
    <xf borderId="6" fillId="2" fontId="10" numFmtId="0" xfId="0" applyAlignment="1" applyBorder="1" applyFont="1">
      <alignment horizontal="center" shrinkToFit="0" vertical="center" wrapText="1"/>
    </xf>
    <xf borderId="9" fillId="0" fontId="6" numFmtId="0" xfId="0" applyAlignment="1" applyBorder="1" applyFont="1">
      <alignment shrinkToFit="0" wrapText="1"/>
    </xf>
    <xf borderId="6" fillId="0" fontId="7" numFmtId="0" xfId="0" applyAlignment="1" applyBorder="1" applyFont="1">
      <alignment horizontal="center" shrinkToFit="0" textRotation="90" vertical="top" wrapText="1"/>
    </xf>
    <xf borderId="6" fillId="0" fontId="7" numFmtId="0" xfId="0" applyAlignment="1" applyBorder="1" applyFont="1">
      <alignment horizontal="center" shrinkToFit="0" vertical="top" wrapText="1"/>
    </xf>
    <xf borderId="3" fillId="3" fontId="8" numFmtId="0" xfId="0" applyAlignment="1" applyBorder="1" applyFont="1">
      <alignment horizontal="center" readingOrder="0" shrinkToFit="0" vertical="center" wrapText="1"/>
    </xf>
    <xf borderId="6" fillId="0" fontId="11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FE6DD"/>
          <bgColor rgb="FFFFE6DD"/>
        </patternFill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font>
        <b/>
        <color rgb="FFFF0000"/>
      </font>
      <fill>
        <patternFill patternType="none"/>
      </fill>
      <border/>
    </dxf>
  </dxfs>
  <tableStyles count="4">
    <tableStyle count="2" pivot="0" name="Dados-style">
      <tableStyleElement dxfId="1" type="firstRowStripe"/>
      <tableStyleElement dxfId="2" type="secondRowStripe"/>
    </tableStyle>
    <tableStyle count="2" pivot="0" name="Dados-style 2">
      <tableStyleElement dxfId="1" type="firstRowStripe"/>
      <tableStyleElement dxfId="2" type="secondRowStripe"/>
    </tableStyle>
    <tableStyle count="2" pivot="0" name="Dados-style 3">
      <tableStyleElement dxfId="1" type="firstRowStripe"/>
      <tableStyleElement dxfId="2" type="secondRowStripe"/>
    </tableStyle>
    <tableStyle count="3" pivot="0" name="Gráficos-style">
      <tableStyleElement dxfId="3" type="headerRow"/>
      <tableStyleElement dxfId="1" type="firstRowStripe"/>
      <tableStyleElement dxfId="4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b="0">
                <a:solidFill>
                  <a:srgbClr val="000000"/>
                </a:solidFill>
                <a:latin typeface="Roboto"/>
              </a:rPr>
              <a:t>Quantidade de ciclistas por hora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'Gráficos'!$A$3</c:f>
            </c:strRef>
          </c:tx>
          <c:spPr>
            <a:solidFill>
              <a:srgbClr val="26A69A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'Gráficos'!$B$2:$O$2</c:f>
            </c:strRef>
          </c:cat>
          <c:val>
            <c:numRef>
              <c:f>'Gráficos'!$B$3:$O$3</c:f>
              <c:numCache/>
            </c:numRef>
          </c:val>
        </c:ser>
        <c:ser>
          <c:idx val="1"/>
          <c:order val="1"/>
          <c:tx>
            <c:strRef>
              <c:f>'Gráficos'!$A$4</c:f>
            </c:strRef>
          </c:tx>
          <c:spPr>
            <a:solidFill>
              <a:srgbClr val="FF0000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'Gráficos'!$B$2:$O$2</c:f>
            </c:strRef>
          </c:cat>
          <c:val>
            <c:numRef>
              <c:f>'Gráficos'!$B$4:$O$4</c:f>
              <c:numCache/>
            </c:numRef>
          </c:val>
        </c:ser>
        <c:ser>
          <c:idx val="2"/>
          <c:order val="2"/>
          <c:tx>
            <c:strRef>
              <c:f>'Gráficos'!$A$5</c:f>
            </c:strRef>
          </c:tx>
          <c:cat>
            <c:strRef>
              <c:f>'Gráficos'!$B$2:$O$2</c:f>
            </c:strRef>
          </c:cat>
          <c:val>
            <c:numRef>
              <c:f>'Gráficos'!$B$5:$O$5</c:f>
              <c:numCache/>
            </c:numRef>
          </c:val>
        </c:ser>
        <c:overlap val="100"/>
        <c:axId val="317651844"/>
        <c:axId val="765917260"/>
      </c:barChart>
      <c:catAx>
        <c:axId val="31765184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Horário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765917260"/>
      </c:catAx>
      <c:valAx>
        <c:axId val="76591726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Ciclistas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31765184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b="0">
                <a:solidFill>
                  <a:srgbClr val="000000"/>
                </a:solidFill>
                <a:latin typeface="Roboto"/>
              </a:rPr>
              <a:t>Ciclistas por hora (%)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'Gráficos'!$A$9</c:f>
            </c:strRef>
          </c:tx>
          <c:spPr>
            <a:solidFill>
              <a:srgbClr val="FF0000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'Gráficos'!$B$8:$O$8</c:f>
            </c:strRef>
          </c:cat>
          <c:val>
            <c:numRef>
              <c:f>'Gráficos'!$B$9:$O$9</c:f>
              <c:numCache/>
            </c:numRef>
          </c:val>
        </c:ser>
        <c:ser>
          <c:idx val="1"/>
          <c:order val="1"/>
          <c:tx>
            <c:strRef>
              <c:f>'Gráficos'!$A$10</c:f>
            </c:strRef>
          </c:tx>
          <c:spPr>
            <a:solidFill>
              <a:srgbClr val="7F7F7F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'Gráficos'!$B$8:$O$8</c:f>
            </c:strRef>
          </c:cat>
          <c:val>
            <c:numRef>
              <c:f>'Gráficos'!$B$10:$O$10</c:f>
              <c:numCache/>
            </c:numRef>
          </c:val>
        </c:ser>
        <c:overlap val="100"/>
        <c:axId val="278502518"/>
        <c:axId val="2116851382"/>
      </c:barChart>
      <c:catAx>
        <c:axId val="27850251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Horário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2116851382"/>
      </c:catAx>
      <c:valAx>
        <c:axId val="211685138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% Ciclistas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27850251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b="0">
                <a:solidFill>
                  <a:srgbClr val="000000"/>
                </a:solidFill>
                <a:latin typeface="Roboto"/>
              </a:rPr>
              <a:t>% das características de acordo com o total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'Gráficos'!$B$12</c:f>
            </c:strRef>
          </c:tx>
          <c:spPr>
            <a:solidFill>
              <a:srgbClr val="26A69A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'Gráficos'!$A$13:$A$20</c:f>
            </c:strRef>
          </c:cat>
          <c:val>
            <c:numRef>
              <c:f>'Gráficos'!$B$13:$B$20</c:f>
              <c:numCache/>
            </c:numRef>
          </c:val>
        </c:ser>
        <c:axId val="9026262"/>
        <c:axId val="1241801821"/>
      </c:barChart>
      <c:catAx>
        <c:axId val="9026262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Característica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241801821"/>
      </c:catAx>
      <c:valAx>
        <c:axId val="1241801821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%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9026262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15</xdr:col>
      <xdr:colOff>9525</xdr:colOff>
      <xdr:row>0</xdr:row>
      <xdr:rowOff>0</xdr:rowOff>
    </xdr:from>
    <xdr:ext cx="5715000" cy="35337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15</xdr:col>
      <xdr:colOff>9525</xdr:colOff>
      <xdr:row>17</xdr:row>
      <xdr:rowOff>0</xdr:rowOff>
    </xdr:from>
    <xdr:ext cx="5715000" cy="3533775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2</xdr:col>
      <xdr:colOff>9525</xdr:colOff>
      <xdr:row>10</xdr:row>
      <xdr:rowOff>133350</xdr:rowOff>
    </xdr:from>
    <xdr:ext cx="5715000" cy="3533775"/>
    <xdr:graphicFrame>
      <xdr:nvGraphicFramePr>
        <xdr:cNvPr id="3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342900</xdr:colOff>
      <xdr:row>1</xdr:row>
      <xdr:rowOff>276225</xdr:rowOff>
    </xdr:from>
    <xdr:ext cx="3952875" cy="3952875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3:P14" displayName="Table_1" name="Table_1" id="1">
  <tableColumns count="1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</tableColumns>
  <tableStyleInfo name="Dados-style" showColumnStripes="0" showFirstColumn="1" showLastColumn="1" showRowStripes="1"/>
</table>
</file>

<file path=xl/tables/table2.xml><?xml version="1.0" encoding="utf-8"?>
<table xmlns="http://schemas.openxmlformats.org/spreadsheetml/2006/main" headerRowCount="0" ref="B20:P27" displayName="Table_2" name="Table_2" id="2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Dados-style 2" showColumnStripes="0" showFirstColumn="1" showLastColumn="1" showRowStripes="1"/>
</table>
</file>

<file path=xl/tables/table3.xml><?xml version="1.0" encoding="utf-8"?>
<table xmlns="http://schemas.openxmlformats.org/spreadsheetml/2006/main" headerRowCount="0" ref="B31:P36" displayName="Table_3" name="Table_3" id="3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Dados-style 3" showColumnStripes="0" showFirstColumn="1" showLastColumn="1" showRowStripes="1"/>
</table>
</file>

<file path=xl/tables/table4.xml><?xml version="1.0" encoding="utf-8"?>
<table xmlns="http://schemas.openxmlformats.org/spreadsheetml/2006/main" ref="A12:B20" displayName="Table_4" name="Table_4" id="4">
  <tableColumns count="2">
    <tableColumn name="Característica" id="1"/>
    <tableColumn name="%" id="2"/>
  </tableColumns>
  <tableStyleInfo name="Gráficos-style" showColumnStripes="0" showFirstColumn="1" showLastColumn="1" showRowStripes="1"/>
</tabl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Relationship Id="rId7" Type="http://schemas.openxmlformats.org/officeDocument/2006/relationships/table" Target="../tables/table3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25.38"/>
    <col customWidth="1" min="2" max="2" width="43.63"/>
  </cols>
  <sheetData>
    <row r="1">
      <c r="A1" s="1" t="s">
        <v>0</v>
      </c>
      <c r="B1" s="2" t="s">
        <v>1</v>
      </c>
    </row>
    <row r="2">
      <c r="A2" s="1" t="s">
        <v>2</v>
      </c>
      <c r="B2" s="3">
        <v>41738.0</v>
      </c>
    </row>
    <row r="3">
      <c r="A3" s="4" t="s">
        <v>3</v>
      </c>
      <c r="B3" s="5" t="s">
        <v>4</v>
      </c>
    </row>
    <row r="4">
      <c r="A4" s="4" t="s">
        <v>5</v>
      </c>
      <c r="B4" s="2"/>
    </row>
    <row r="5">
      <c r="A5" s="4" t="s">
        <v>6</v>
      </c>
      <c r="B5" s="6">
        <f>Dados!Q15</f>
        <v>2282</v>
      </c>
    </row>
    <row r="6">
      <c r="A6" s="4" t="s">
        <v>7</v>
      </c>
      <c r="B6" s="6">
        <f>MAX(Dados!C15:P15)</f>
        <v>282</v>
      </c>
    </row>
    <row r="7">
      <c r="A7" s="7" t="s">
        <v>8</v>
      </c>
      <c r="B7" s="8">
        <f>Dados!R20</f>
        <v>0.07887817704</v>
      </c>
    </row>
    <row r="8">
      <c r="A8" s="7" t="s">
        <v>9</v>
      </c>
      <c r="B8" s="8">
        <f>Dados!R21</f>
        <v>0</v>
      </c>
    </row>
    <row r="9">
      <c r="A9" s="7" t="s">
        <v>10</v>
      </c>
      <c r="B9" s="8">
        <f>Dados!R22</f>
        <v>0.03418054338</v>
      </c>
    </row>
    <row r="10">
      <c r="A10" s="7" t="s">
        <v>11</v>
      </c>
      <c r="B10" s="8">
        <f>Dados!R23</f>
        <v>0.05784399649</v>
      </c>
    </row>
    <row r="11">
      <c r="A11" s="7" t="s">
        <v>12</v>
      </c>
      <c r="B11" s="8">
        <f>Dados!R24</f>
        <v>0.2063978966</v>
      </c>
    </row>
    <row r="12">
      <c r="A12" s="7" t="s">
        <v>13</v>
      </c>
      <c r="B12" s="8">
        <f>Dados!R25</f>
        <v>0.03856266433</v>
      </c>
    </row>
    <row r="13">
      <c r="A13" s="7" t="s">
        <v>14</v>
      </c>
      <c r="B13" s="8">
        <f>Dados!R26</f>
        <v>0.08150744961</v>
      </c>
    </row>
    <row r="14">
      <c r="A14" s="7" t="s">
        <v>15</v>
      </c>
      <c r="B14" s="8">
        <f>Dados!R27</f>
        <v>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2.75"/>
  <cols>
    <col customWidth="1" min="1" max="1" width="14.25"/>
    <col customWidth="1" min="2" max="2" width="15.5"/>
    <col customWidth="1" min="3" max="16" width="7.0"/>
    <col customWidth="1" min="17" max="17" width="8.75"/>
    <col customWidth="1" min="18" max="18" width="8.5"/>
  </cols>
  <sheetData>
    <row r="1" ht="12.0" customHeight="1">
      <c r="A1" s="9" t="s">
        <v>16</v>
      </c>
    </row>
    <row r="2" ht="12.0" customHeight="1">
      <c r="A2" s="10" t="s">
        <v>17</v>
      </c>
      <c r="B2" s="10" t="s">
        <v>18</v>
      </c>
      <c r="C2" s="11">
        <v>6.0</v>
      </c>
      <c r="D2" s="11">
        <v>7.0</v>
      </c>
      <c r="E2" s="11">
        <v>8.0</v>
      </c>
      <c r="F2" s="11">
        <v>9.0</v>
      </c>
      <c r="G2" s="11">
        <v>10.0</v>
      </c>
      <c r="H2" s="11">
        <v>11.0</v>
      </c>
      <c r="I2" s="11">
        <v>12.0</v>
      </c>
      <c r="J2" s="11">
        <v>13.0</v>
      </c>
      <c r="K2" s="11">
        <v>14.0</v>
      </c>
      <c r="L2" s="11">
        <v>15.0</v>
      </c>
      <c r="M2" s="11">
        <v>16.0</v>
      </c>
      <c r="N2" s="11">
        <v>17.0</v>
      </c>
      <c r="O2" s="11">
        <v>18.0</v>
      </c>
      <c r="P2" s="11">
        <v>19.0</v>
      </c>
      <c r="Q2" s="12" t="s">
        <v>19</v>
      </c>
      <c r="R2" s="13" t="s">
        <v>20</v>
      </c>
    </row>
    <row r="3" ht="14.25" customHeight="1">
      <c r="A3" s="14" t="s">
        <v>21</v>
      </c>
      <c r="B3" s="14" t="s">
        <v>22</v>
      </c>
      <c r="C3" s="15">
        <v>10.0</v>
      </c>
      <c r="D3" s="15">
        <v>15.0</v>
      </c>
      <c r="E3" s="15">
        <v>7.0</v>
      </c>
      <c r="F3" s="15">
        <v>10.0</v>
      </c>
      <c r="G3" s="15">
        <v>9.0</v>
      </c>
      <c r="H3" s="15">
        <v>5.0</v>
      </c>
      <c r="I3" s="15">
        <v>13.0</v>
      </c>
      <c r="J3" s="15">
        <v>8.0</v>
      </c>
      <c r="K3" s="15">
        <v>4.0</v>
      </c>
      <c r="L3" s="15">
        <v>10.0</v>
      </c>
      <c r="M3" s="15">
        <v>12.0</v>
      </c>
      <c r="N3" s="15">
        <v>13.0</v>
      </c>
      <c r="O3" s="15">
        <v>6.0</v>
      </c>
      <c r="P3" s="15">
        <v>7.0</v>
      </c>
      <c r="Q3" s="16">
        <f t="shared" ref="Q3:Q14" si="1">SUM(C3:P3)</f>
        <v>129</v>
      </c>
      <c r="R3" s="17">
        <f t="shared" ref="R3:R14" si="2">Q3/$Q$15</f>
        <v>0.05652936021</v>
      </c>
    </row>
    <row r="4" ht="14.25" customHeight="1">
      <c r="A4" s="14" t="s">
        <v>21</v>
      </c>
      <c r="B4" s="14" t="s">
        <v>23</v>
      </c>
      <c r="C4" s="18">
        <v>63.0</v>
      </c>
      <c r="D4" s="18">
        <v>94.0</v>
      </c>
      <c r="E4" s="18">
        <v>30.0</v>
      </c>
      <c r="F4" s="18">
        <v>23.0</v>
      </c>
      <c r="G4" s="18">
        <v>21.0</v>
      </c>
      <c r="H4" s="18">
        <v>25.0</v>
      </c>
      <c r="I4" s="18">
        <v>31.0</v>
      </c>
      <c r="J4" s="18">
        <v>23.0</v>
      </c>
      <c r="K4" s="18">
        <v>25.0</v>
      </c>
      <c r="L4" s="18">
        <v>22.0</v>
      </c>
      <c r="M4" s="18">
        <v>36.0</v>
      </c>
      <c r="N4" s="18">
        <v>85.0</v>
      </c>
      <c r="O4" s="18">
        <v>54.0</v>
      </c>
      <c r="P4" s="18">
        <v>37.0</v>
      </c>
      <c r="Q4" s="16">
        <f t="shared" si="1"/>
        <v>569</v>
      </c>
      <c r="R4" s="17">
        <f t="shared" si="2"/>
        <v>0.2493426819</v>
      </c>
    </row>
    <row r="5" ht="14.25" customHeight="1">
      <c r="A5" s="14" t="s">
        <v>21</v>
      </c>
      <c r="B5" s="14" t="s">
        <v>24</v>
      </c>
      <c r="C5" s="18">
        <v>10.0</v>
      </c>
      <c r="D5" s="18">
        <v>6.0</v>
      </c>
      <c r="E5" s="18">
        <v>2.0</v>
      </c>
      <c r="F5" s="18">
        <v>4.0</v>
      </c>
      <c r="G5" s="18">
        <v>7.0</v>
      </c>
      <c r="H5" s="18">
        <v>7.0</v>
      </c>
      <c r="I5" s="18">
        <v>4.0</v>
      </c>
      <c r="J5" s="18">
        <v>6.0</v>
      </c>
      <c r="K5" s="18">
        <v>3.0</v>
      </c>
      <c r="L5" s="18">
        <v>5.0</v>
      </c>
      <c r="M5" s="18">
        <v>7.0</v>
      </c>
      <c r="N5" s="18">
        <v>6.0</v>
      </c>
      <c r="O5" s="18">
        <v>12.0</v>
      </c>
      <c r="P5" s="18">
        <v>8.0</v>
      </c>
      <c r="Q5" s="16">
        <f t="shared" si="1"/>
        <v>87</v>
      </c>
      <c r="R5" s="17">
        <f t="shared" si="2"/>
        <v>0.03812445223</v>
      </c>
    </row>
    <row r="6" ht="14.25" customHeight="1">
      <c r="A6" s="14" t="s">
        <v>24</v>
      </c>
      <c r="B6" s="14" t="s">
        <v>21</v>
      </c>
      <c r="C6" s="18">
        <v>2.0</v>
      </c>
      <c r="D6" s="18">
        <v>4.0</v>
      </c>
      <c r="E6" s="18">
        <v>4.0</v>
      </c>
      <c r="F6" s="18">
        <v>6.0</v>
      </c>
      <c r="G6" s="18">
        <v>8.0</v>
      </c>
      <c r="H6" s="18">
        <v>8.0</v>
      </c>
      <c r="I6" s="18">
        <v>5.0</v>
      </c>
      <c r="J6" s="18">
        <v>6.0</v>
      </c>
      <c r="K6" s="18">
        <v>5.0</v>
      </c>
      <c r="L6" s="18">
        <v>3.0</v>
      </c>
      <c r="M6" s="18">
        <v>2.0</v>
      </c>
      <c r="N6" s="18">
        <v>7.0</v>
      </c>
      <c r="O6" s="18">
        <v>1.0</v>
      </c>
      <c r="P6" s="18">
        <v>3.0</v>
      </c>
      <c r="Q6" s="16">
        <f t="shared" si="1"/>
        <v>64</v>
      </c>
      <c r="R6" s="17">
        <f t="shared" si="2"/>
        <v>0.02804557406</v>
      </c>
    </row>
    <row r="7" ht="14.25" customHeight="1">
      <c r="A7" s="14" t="s">
        <v>24</v>
      </c>
      <c r="B7" s="14" t="s">
        <v>22</v>
      </c>
      <c r="C7" s="18">
        <v>7.0</v>
      </c>
      <c r="D7" s="18">
        <v>15.0</v>
      </c>
      <c r="E7" s="18">
        <v>14.0</v>
      </c>
      <c r="F7" s="18">
        <v>6.0</v>
      </c>
      <c r="G7" s="18">
        <v>7.0</v>
      </c>
      <c r="H7" s="18">
        <v>15.0</v>
      </c>
      <c r="I7" s="18">
        <v>18.0</v>
      </c>
      <c r="J7" s="18">
        <v>5.0</v>
      </c>
      <c r="K7" s="18">
        <v>17.0</v>
      </c>
      <c r="L7" s="18">
        <v>8.0</v>
      </c>
      <c r="M7" s="18">
        <v>6.0</v>
      </c>
      <c r="N7" s="18">
        <v>10.0</v>
      </c>
      <c r="O7" s="18">
        <v>13.0</v>
      </c>
      <c r="P7" s="18">
        <v>11.0</v>
      </c>
      <c r="Q7" s="16">
        <f t="shared" si="1"/>
        <v>152</v>
      </c>
      <c r="R7" s="17">
        <f t="shared" si="2"/>
        <v>0.06660823839</v>
      </c>
    </row>
    <row r="8" ht="14.25" customHeight="1">
      <c r="A8" s="14" t="s">
        <v>24</v>
      </c>
      <c r="B8" s="14" t="s">
        <v>23</v>
      </c>
      <c r="C8" s="18">
        <v>7.0</v>
      </c>
      <c r="D8" s="18">
        <v>7.0</v>
      </c>
      <c r="E8" s="18">
        <v>7.0</v>
      </c>
      <c r="F8" s="18">
        <v>9.0</v>
      </c>
      <c r="G8" s="18">
        <v>4.0</v>
      </c>
      <c r="H8" s="18">
        <v>6.0</v>
      </c>
      <c r="I8" s="18">
        <v>11.0</v>
      </c>
      <c r="J8" s="18">
        <v>6.0</v>
      </c>
      <c r="K8" s="18">
        <v>7.0</v>
      </c>
      <c r="L8" s="18">
        <v>5.0</v>
      </c>
      <c r="M8" s="18">
        <v>6.0</v>
      </c>
      <c r="N8" s="18">
        <v>18.0</v>
      </c>
      <c r="O8" s="18">
        <v>3.0</v>
      </c>
      <c r="P8" s="18">
        <v>5.0</v>
      </c>
      <c r="Q8" s="16">
        <f t="shared" si="1"/>
        <v>101</v>
      </c>
      <c r="R8" s="17">
        <f t="shared" si="2"/>
        <v>0.04425942156</v>
      </c>
    </row>
    <row r="9" ht="14.25" customHeight="1">
      <c r="A9" s="14" t="s">
        <v>23</v>
      </c>
      <c r="B9" s="14" t="s">
        <v>24</v>
      </c>
      <c r="C9" s="18">
        <v>6.0</v>
      </c>
      <c r="D9" s="18">
        <v>8.0</v>
      </c>
      <c r="E9" s="18">
        <v>8.0</v>
      </c>
      <c r="F9" s="18">
        <v>8.0</v>
      </c>
      <c r="G9" s="18">
        <v>11.0</v>
      </c>
      <c r="H9" s="18">
        <v>5.0</v>
      </c>
      <c r="I9" s="18">
        <v>8.0</v>
      </c>
      <c r="J9" s="18">
        <v>14.0</v>
      </c>
      <c r="K9" s="18">
        <v>5.0</v>
      </c>
      <c r="L9" s="18">
        <v>9.0</v>
      </c>
      <c r="M9" s="18">
        <v>7.0</v>
      </c>
      <c r="N9" s="18">
        <v>7.0</v>
      </c>
      <c r="O9" s="18">
        <v>2.0</v>
      </c>
      <c r="P9" s="18">
        <v>3.0</v>
      </c>
      <c r="Q9" s="16">
        <f t="shared" si="1"/>
        <v>101</v>
      </c>
      <c r="R9" s="17">
        <f t="shared" si="2"/>
        <v>0.04425942156</v>
      </c>
    </row>
    <row r="10" ht="14.25" customHeight="1">
      <c r="A10" s="14" t="s">
        <v>23</v>
      </c>
      <c r="B10" s="14" t="s">
        <v>21</v>
      </c>
      <c r="C10" s="18">
        <v>67.0</v>
      </c>
      <c r="D10" s="18">
        <v>73.0</v>
      </c>
      <c r="E10" s="18">
        <v>33.0</v>
      </c>
      <c r="F10" s="18">
        <v>24.0</v>
      </c>
      <c r="G10" s="18">
        <v>27.0</v>
      </c>
      <c r="H10" s="18">
        <v>20.0</v>
      </c>
      <c r="I10" s="18">
        <v>21.0</v>
      </c>
      <c r="J10" s="18">
        <v>26.0</v>
      </c>
      <c r="K10" s="18">
        <v>16.0</v>
      </c>
      <c r="L10" s="18">
        <v>32.0</v>
      </c>
      <c r="M10" s="18">
        <v>28.0</v>
      </c>
      <c r="N10" s="18">
        <v>53.0</v>
      </c>
      <c r="O10" s="18">
        <v>40.0</v>
      </c>
      <c r="P10" s="18">
        <v>29.0</v>
      </c>
      <c r="Q10" s="16">
        <f t="shared" si="1"/>
        <v>489</v>
      </c>
      <c r="R10" s="17">
        <f t="shared" si="2"/>
        <v>0.2142857143</v>
      </c>
    </row>
    <row r="11" ht="14.25" customHeight="1">
      <c r="A11" s="14" t="s">
        <v>23</v>
      </c>
      <c r="B11" s="14" t="s">
        <v>22</v>
      </c>
      <c r="C11" s="18">
        <v>28.0</v>
      </c>
      <c r="D11" s="18">
        <v>13.0</v>
      </c>
      <c r="E11" s="18">
        <v>12.0</v>
      </c>
      <c r="F11" s="18">
        <v>13.0</v>
      </c>
      <c r="G11" s="18">
        <v>7.0</v>
      </c>
      <c r="H11" s="18">
        <v>7.0</v>
      </c>
      <c r="I11" s="18">
        <v>8.0</v>
      </c>
      <c r="J11" s="18">
        <v>12.0</v>
      </c>
      <c r="K11" s="18">
        <v>11.0</v>
      </c>
      <c r="L11" s="18">
        <v>11.0</v>
      </c>
      <c r="M11" s="18">
        <v>7.0</v>
      </c>
      <c r="N11" s="18">
        <v>15.0</v>
      </c>
      <c r="O11" s="18">
        <v>20.0</v>
      </c>
      <c r="P11" s="18">
        <v>18.0</v>
      </c>
      <c r="Q11" s="16">
        <f t="shared" si="1"/>
        <v>182</v>
      </c>
      <c r="R11" s="17">
        <f t="shared" si="2"/>
        <v>0.07975460123</v>
      </c>
    </row>
    <row r="12" ht="14.25" customHeight="1">
      <c r="A12" s="14" t="s">
        <v>22</v>
      </c>
      <c r="B12" s="14" t="s">
        <v>23</v>
      </c>
      <c r="C12" s="18">
        <v>12.0</v>
      </c>
      <c r="D12" s="18">
        <v>10.0</v>
      </c>
      <c r="E12" s="18">
        <v>3.0</v>
      </c>
      <c r="F12" s="18">
        <v>11.0</v>
      </c>
      <c r="G12" s="18">
        <v>4.0</v>
      </c>
      <c r="H12" s="18">
        <v>3.0</v>
      </c>
      <c r="I12" s="18">
        <v>10.0</v>
      </c>
      <c r="J12" s="18">
        <v>5.0</v>
      </c>
      <c r="K12" s="18">
        <v>5.0</v>
      </c>
      <c r="L12" s="18">
        <v>14.0</v>
      </c>
      <c r="M12" s="18">
        <v>10.0</v>
      </c>
      <c r="N12" s="18">
        <v>28.0</v>
      </c>
      <c r="O12" s="18">
        <v>8.0</v>
      </c>
      <c r="P12" s="18">
        <v>18.0</v>
      </c>
      <c r="Q12" s="16">
        <f t="shared" si="1"/>
        <v>141</v>
      </c>
      <c r="R12" s="17">
        <f t="shared" si="2"/>
        <v>0.06178790535</v>
      </c>
    </row>
    <row r="13" ht="14.25" customHeight="1">
      <c r="A13" s="14" t="s">
        <v>22</v>
      </c>
      <c r="B13" s="14" t="s">
        <v>24</v>
      </c>
      <c r="C13" s="18">
        <v>8.0</v>
      </c>
      <c r="D13" s="18">
        <v>20.0</v>
      </c>
      <c r="E13" s="18">
        <v>18.0</v>
      </c>
      <c r="F13" s="18">
        <v>6.0</v>
      </c>
      <c r="G13" s="18">
        <v>10.0</v>
      </c>
      <c r="H13" s="18">
        <v>16.0</v>
      </c>
      <c r="I13" s="18">
        <v>16.0</v>
      </c>
      <c r="J13" s="18">
        <v>7.0</v>
      </c>
      <c r="K13" s="18">
        <v>9.0</v>
      </c>
      <c r="L13" s="18">
        <v>9.0</v>
      </c>
      <c r="M13" s="18">
        <v>24.0</v>
      </c>
      <c r="N13" s="18">
        <v>15.0</v>
      </c>
      <c r="O13" s="18">
        <v>2.0</v>
      </c>
      <c r="P13" s="18">
        <v>5.0</v>
      </c>
      <c r="Q13" s="16">
        <f t="shared" si="1"/>
        <v>165</v>
      </c>
      <c r="R13" s="17">
        <f t="shared" si="2"/>
        <v>0.07230499562</v>
      </c>
    </row>
    <row r="14" ht="14.25" customHeight="1">
      <c r="A14" s="14" t="s">
        <v>22</v>
      </c>
      <c r="B14" s="14" t="s">
        <v>21</v>
      </c>
      <c r="C14" s="19">
        <v>11.0</v>
      </c>
      <c r="D14" s="19">
        <v>17.0</v>
      </c>
      <c r="E14" s="19">
        <v>5.0</v>
      </c>
      <c r="F14" s="19">
        <v>10.0</v>
      </c>
      <c r="G14" s="19">
        <v>3.0</v>
      </c>
      <c r="H14" s="19">
        <v>3.0</v>
      </c>
      <c r="I14" s="19">
        <v>5.0</v>
      </c>
      <c r="J14" s="19">
        <v>7.0</v>
      </c>
      <c r="K14" s="19">
        <v>7.0</v>
      </c>
      <c r="L14" s="19">
        <v>9.0</v>
      </c>
      <c r="M14" s="19">
        <v>8.0</v>
      </c>
      <c r="N14" s="19">
        <v>9.0</v>
      </c>
      <c r="O14" s="19">
        <v>5.0</v>
      </c>
      <c r="P14" s="19">
        <v>3.0</v>
      </c>
      <c r="Q14" s="16">
        <f t="shared" si="1"/>
        <v>102</v>
      </c>
      <c r="R14" s="17">
        <f t="shared" si="2"/>
        <v>0.04469763365</v>
      </c>
    </row>
    <row r="15" ht="14.25" customHeight="1">
      <c r="A15" s="20"/>
      <c r="B15" s="20" t="s">
        <v>19</v>
      </c>
      <c r="C15" s="16">
        <f t="shared" ref="C15:Q15" si="3">SUM(C$3:C$14)</f>
        <v>231</v>
      </c>
      <c r="D15" s="16">
        <f t="shared" si="3"/>
        <v>282</v>
      </c>
      <c r="E15" s="16">
        <f t="shared" si="3"/>
        <v>143</v>
      </c>
      <c r="F15" s="16">
        <f t="shared" si="3"/>
        <v>130</v>
      </c>
      <c r="G15" s="16">
        <f t="shared" si="3"/>
        <v>118</v>
      </c>
      <c r="H15" s="16">
        <f t="shared" si="3"/>
        <v>120</v>
      </c>
      <c r="I15" s="16">
        <f t="shared" si="3"/>
        <v>150</v>
      </c>
      <c r="J15" s="16">
        <f t="shared" si="3"/>
        <v>125</v>
      </c>
      <c r="K15" s="16">
        <f t="shared" si="3"/>
        <v>114</v>
      </c>
      <c r="L15" s="16">
        <f t="shared" si="3"/>
        <v>137</v>
      </c>
      <c r="M15" s="16">
        <f t="shared" si="3"/>
        <v>153</v>
      </c>
      <c r="N15" s="16">
        <f t="shared" si="3"/>
        <v>266</v>
      </c>
      <c r="O15" s="16">
        <f t="shared" si="3"/>
        <v>166</v>
      </c>
      <c r="P15" s="16">
        <f t="shared" si="3"/>
        <v>147</v>
      </c>
      <c r="Q15" s="16">
        <f t="shared" si="3"/>
        <v>2282</v>
      </c>
      <c r="R15" s="17"/>
    </row>
    <row r="16" ht="13.5" customHeight="1">
      <c r="A16" s="21"/>
      <c r="B16" s="21" t="s">
        <v>25</v>
      </c>
      <c r="C16" s="22">
        <f t="shared" ref="C16:P16" si="4">C15/$Q$15</f>
        <v>0.1012269939</v>
      </c>
      <c r="D16" s="22">
        <f t="shared" si="4"/>
        <v>0.1235758107</v>
      </c>
      <c r="E16" s="22">
        <f t="shared" si="4"/>
        <v>0.06266432954</v>
      </c>
      <c r="F16" s="22">
        <f t="shared" si="4"/>
        <v>0.0569675723</v>
      </c>
      <c r="G16" s="22">
        <f t="shared" si="4"/>
        <v>0.05170902717</v>
      </c>
      <c r="H16" s="22">
        <f t="shared" si="4"/>
        <v>0.05258545136</v>
      </c>
      <c r="I16" s="22">
        <f t="shared" si="4"/>
        <v>0.0657318142</v>
      </c>
      <c r="J16" s="22">
        <f t="shared" si="4"/>
        <v>0.05477651183</v>
      </c>
      <c r="K16" s="22">
        <f t="shared" si="4"/>
        <v>0.04995617879</v>
      </c>
      <c r="L16" s="22">
        <f t="shared" si="4"/>
        <v>0.06003505697</v>
      </c>
      <c r="M16" s="22">
        <f t="shared" si="4"/>
        <v>0.06704645048</v>
      </c>
      <c r="N16" s="22">
        <f t="shared" si="4"/>
        <v>0.1165644172</v>
      </c>
      <c r="O16" s="22">
        <f t="shared" si="4"/>
        <v>0.07274320771</v>
      </c>
      <c r="P16" s="22">
        <f t="shared" si="4"/>
        <v>0.06441717791</v>
      </c>
      <c r="Q16" s="22">
        <f>SUM(C16:P16)</f>
        <v>1</v>
      </c>
      <c r="R16" s="17"/>
    </row>
    <row r="17" ht="13.5" customHeight="1">
      <c r="A17" s="23"/>
      <c r="B17" s="23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5"/>
    </row>
    <row r="18" ht="12.0" customHeight="1">
      <c r="A18" s="9" t="s">
        <v>26</v>
      </c>
    </row>
    <row r="19" ht="12.0" customHeight="1">
      <c r="A19" s="26"/>
      <c r="B19" s="10" t="s">
        <v>27</v>
      </c>
      <c r="C19" s="11">
        <v>6.0</v>
      </c>
      <c r="D19" s="11">
        <v>7.0</v>
      </c>
      <c r="E19" s="11">
        <v>8.0</v>
      </c>
      <c r="F19" s="11">
        <v>9.0</v>
      </c>
      <c r="G19" s="11">
        <v>10.0</v>
      </c>
      <c r="H19" s="11">
        <v>11.0</v>
      </c>
      <c r="I19" s="11">
        <v>12.0</v>
      </c>
      <c r="J19" s="11">
        <v>13.0</v>
      </c>
      <c r="K19" s="11">
        <v>14.0</v>
      </c>
      <c r="L19" s="11">
        <v>15.0</v>
      </c>
      <c r="M19" s="11">
        <v>16.0</v>
      </c>
      <c r="N19" s="11">
        <v>17.0</v>
      </c>
      <c r="O19" s="11">
        <v>18.0</v>
      </c>
      <c r="P19" s="11">
        <v>19.0</v>
      </c>
      <c r="Q19" s="12" t="s">
        <v>19</v>
      </c>
      <c r="R19" s="13" t="s">
        <v>20</v>
      </c>
    </row>
    <row r="20" ht="14.25" customHeight="1">
      <c r="A20" s="27"/>
      <c r="B20" s="28" t="s">
        <v>8</v>
      </c>
      <c r="C20" s="14">
        <v>14.0</v>
      </c>
      <c r="D20" s="14">
        <v>28.0</v>
      </c>
      <c r="E20" s="14">
        <v>4.0</v>
      </c>
      <c r="F20" s="14">
        <v>6.0</v>
      </c>
      <c r="G20" s="14">
        <v>10.0</v>
      </c>
      <c r="H20" s="14">
        <v>21.0</v>
      </c>
      <c r="I20" s="14">
        <v>7.0</v>
      </c>
      <c r="J20" s="14">
        <v>11.0</v>
      </c>
      <c r="K20" s="14">
        <v>5.0</v>
      </c>
      <c r="L20" s="14">
        <v>10.0</v>
      </c>
      <c r="M20" s="14">
        <v>14.0</v>
      </c>
      <c r="N20" s="14">
        <v>24.0</v>
      </c>
      <c r="O20" s="14">
        <v>26.0</v>
      </c>
      <c r="P20" s="14"/>
      <c r="Q20" s="12">
        <f t="shared" ref="Q20:Q27" si="5">SUM(C20:P20)</f>
        <v>180</v>
      </c>
      <c r="R20" s="13">
        <f t="shared" ref="R20:R27" si="6">Q20/$Q$15</f>
        <v>0.07887817704</v>
      </c>
    </row>
    <row r="21" ht="14.25" customHeight="1">
      <c r="A21" s="27"/>
      <c r="B21" s="28" t="s">
        <v>9</v>
      </c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2">
        <f t="shared" si="5"/>
        <v>0</v>
      </c>
      <c r="R21" s="13">
        <f t="shared" si="6"/>
        <v>0</v>
      </c>
    </row>
    <row r="22" ht="14.25" customHeight="1">
      <c r="A22" s="27"/>
      <c r="B22" s="28" t="s">
        <v>10</v>
      </c>
      <c r="C22" s="14">
        <v>17.0</v>
      </c>
      <c r="D22" s="14">
        <v>14.0</v>
      </c>
      <c r="E22" s="14">
        <v>2.0</v>
      </c>
      <c r="F22" s="14">
        <v>1.0</v>
      </c>
      <c r="G22" s="14">
        <v>0.0</v>
      </c>
      <c r="H22" s="14">
        <v>0.0</v>
      </c>
      <c r="I22" s="14">
        <v>3.0</v>
      </c>
      <c r="J22" s="14">
        <v>1.0</v>
      </c>
      <c r="K22" s="14">
        <v>0.0</v>
      </c>
      <c r="L22" s="14">
        <v>2.0</v>
      </c>
      <c r="M22" s="14">
        <v>5.0</v>
      </c>
      <c r="N22" s="14">
        <v>16.0</v>
      </c>
      <c r="O22" s="14">
        <v>17.0</v>
      </c>
      <c r="P22" s="14"/>
      <c r="Q22" s="12">
        <f t="shared" si="5"/>
        <v>78</v>
      </c>
      <c r="R22" s="13">
        <f t="shared" si="6"/>
        <v>0.03418054338</v>
      </c>
    </row>
    <row r="23" ht="14.25" customHeight="1">
      <c r="A23" s="27"/>
      <c r="B23" s="28" t="s">
        <v>28</v>
      </c>
      <c r="C23" s="14">
        <v>6.0</v>
      </c>
      <c r="D23" s="14">
        <v>16.0</v>
      </c>
      <c r="E23" s="14">
        <v>7.0</v>
      </c>
      <c r="F23" s="14">
        <v>5.0</v>
      </c>
      <c r="G23" s="14">
        <v>4.0</v>
      </c>
      <c r="H23" s="14">
        <v>14.0</v>
      </c>
      <c r="I23" s="14">
        <v>9.0</v>
      </c>
      <c r="J23" s="14">
        <v>4.0</v>
      </c>
      <c r="K23" s="14">
        <v>7.0</v>
      </c>
      <c r="L23" s="14">
        <v>11.0</v>
      </c>
      <c r="M23" s="14">
        <v>8.0</v>
      </c>
      <c r="N23" s="14">
        <v>18.0</v>
      </c>
      <c r="O23" s="14">
        <v>23.0</v>
      </c>
      <c r="P23" s="14"/>
      <c r="Q23" s="12">
        <f t="shared" si="5"/>
        <v>132</v>
      </c>
      <c r="R23" s="13">
        <f t="shared" si="6"/>
        <v>0.05784399649</v>
      </c>
    </row>
    <row r="24" ht="14.25" customHeight="1">
      <c r="A24" s="27"/>
      <c r="B24" s="28" t="s">
        <v>29</v>
      </c>
      <c r="C24" s="14">
        <v>30.0</v>
      </c>
      <c r="D24" s="14">
        <v>37.0</v>
      </c>
      <c r="E24" s="14">
        <v>49.0</v>
      </c>
      <c r="F24" s="14">
        <v>50.0</v>
      </c>
      <c r="G24" s="14">
        <v>34.0</v>
      </c>
      <c r="H24" s="14">
        <v>29.0</v>
      </c>
      <c r="I24" s="14">
        <v>31.0</v>
      </c>
      <c r="J24" s="14">
        <v>23.0</v>
      </c>
      <c r="K24" s="14">
        <v>35.0</v>
      </c>
      <c r="L24" s="14">
        <v>38.0</v>
      </c>
      <c r="M24" s="14">
        <v>25.0</v>
      </c>
      <c r="N24" s="14">
        <v>47.0</v>
      </c>
      <c r="O24" s="14">
        <v>43.0</v>
      </c>
      <c r="P24" s="14"/>
      <c r="Q24" s="12">
        <f t="shared" si="5"/>
        <v>471</v>
      </c>
      <c r="R24" s="13">
        <f t="shared" si="6"/>
        <v>0.2063978966</v>
      </c>
    </row>
    <row r="25" ht="14.25" customHeight="1">
      <c r="A25" s="27"/>
      <c r="B25" s="28" t="s">
        <v>13</v>
      </c>
      <c r="C25" s="14">
        <v>12.0</v>
      </c>
      <c r="D25" s="14">
        <v>10.0</v>
      </c>
      <c r="E25" s="14">
        <v>30.0</v>
      </c>
      <c r="F25" s="14">
        <v>24.0</v>
      </c>
      <c r="G25" s="14">
        <v>12.0</v>
      </c>
      <c r="H25" s="14">
        <v>0.0</v>
      </c>
      <c r="I25" s="14">
        <v>0.0</v>
      </c>
      <c r="J25" s="14">
        <v>0.0</v>
      </c>
      <c r="K25" s="14">
        <v>0.0</v>
      </c>
      <c r="L25" s="14">
        <v>0.0</v>
      </c>
      <c r="M25" s="14">
        <v>0.0</v>
      </c>
      <c r="N25" s="14">
        <v>0.0</v>
      </c>
      <c r="O25" s="14">
        <v>0.0</v>
      </c>
      <c r="P25" s="14">
        <v>0.0</v>
      </c>
      <c r="Q25" s="12">
        <f t="shared" si="5"/>
        <v>88</v>
      </c>
      <c r="R25" s="13">
        <f t="shared" si="6"/>
        <v>0.03856266433</v>
      </c>
    </row>
    <row r="26" ht="14.25" customHeight="1">
      <c r="A26" s="27"/>
      <c r="B26" s="28" t="s">
        <v>30</v>
      </c>
      <c r="C26" s="14">
        <v>7.0</v>
      </c>
      <c r="D26" s="14">
        <v>19.0</v>
      </c>
      <c r="E26" s="14">
        <v>5.0</v>
      </c>
      <c r="F26" s="14">
        <v>11.0</v>
      </c>
      <c r="G26" s="14">
        <v>19.0</v>
      </c>
      <c r="H26" s="14">
        <v>8.0</v>
      </c>
      <c r="I26" s="14">
        <v>9.0</v>
      </c>
      <c r="J26" s="14">
        <v>5.0</v>
      </c>
      <c r="K26" s="14">
        <v>12.0</v>
      </c>
      <c r="L26" s="14">
        <v>25.0</v>
      </c>
      <c r="M26" s="14">
        <v>22.0</v>
      </c>
      <c r="N26" s="14">
        <v>26.0</v>
      </c>
      <c r="O26" s="14">
        <v>18.0</v>
      </c>
      <c r="P26" s="14"/>
      <c r="Q26" s="12">
        <f t="shared" si="5"/>
        <v>186</v>
      </c>
      <c r="R26" s="13">
        <f t="shared" si="6"/>
        <v>0.08150744961</v>
      </c>
    </row>
    <row r="27" ht="14.25" customHeight="1">
      <c r="A27" s="27"/>
      <c r="B27" s="28" t="s">
        <v>15</v>
      </c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2">
        <f t="shared" si="5"/>
        <v>0</v>
      </c>
      <c r="R27" s="13">
        <f t="shared" si="6"/>
        <v>0</v>
      </c>
    </row>
    <row r="28" ht="14.25" customHeight="1">
      <c r="A28" s="29"/>
      <c r="B28" s="29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1"/>
    </row>
    <row r="29" ht="14.25" customHeight="1">
      <c r="A29" s="9" t="s">
        <v>31</v>
      </c>
    </row>
    <row r="30" ht="14.25" customHeight="1">
      <c r="A30" s="26"/>
      <c r="B30" s="10" t="s">
        <v>27</v>
      </c>
      <c r="C30" s="11">
        <v>6.0</v>
      </c>
      <c r="D30" s="11">
        <v>7.0</v>
      </c>
      <c r="E30" s="11">
        <v>8.0</v>
      </c>
      <c r="F30" s="11">
        <v>9.0</v>
      </c>
      <c r="G30" s="11">
        <v>10.0</v>
      </c>
      <c r="H30" s="11">
        <v>11.0</v>
      </c>
      <c r="I30" s="11">
        <v>12.0</v>
      </c>
      <c r="J30" s="11">
        <v>13.0</v>
      </c>
      <c r="K30" s="11">
        <v>14.0</v>
      </c>
      <c r="L30" s="11">
        <v>15.0</v>
      </c>
      <c r="M30" s="11">
        <v>16.0</v>
      </c>
      <c r="N30" s="11">
        <v>17.0</v>
      </c>
      <c r="O30" s="11">
        <v>18.0</v>
      </c>
      <c r="P30" s="11">
        <v>19.0</v>
      </c>
      <c r="Q30" s="12" t="s">
        <v>19</v>
      </c>
      <c r="R30" s="13" t="s">
        <v>20</v>
      </c>
    </row>
    <row r="31" ht="14.25" customHeight="1">
      <c r="A31" s="27"/>
      <c r="B31" s="14" t="s">
        <v>32</v>
      </c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12">
        <f t="shared" ref="Q31:Q36" si="7">SUM(C31:P31)</f>
        <v>0</v>
      </c>
      <c r="R31" s="13">
        <f t="shared" ref="R31:R36" si="8">Q31/$Q$15</f>
        <v>0</v>
      </c>
    </row>
    <row r="32" ht="14.25" customHeight="1">
      <c r="A32" s="27"/>
      <c r="B32" s="28" t="s">
        <v>33</v>
      </c>
      <c r="C32" s="32">
        <v>40.0</v>
      </c>
      <c r="D32" s="32">
        <v>45.0</v>
      </c>
      <c r="E32" s="32">
        <v>15.0</v>
      </c>
      <c r="F32" s="32">
        <v>22.0</v>
      </c>
      <c r="G32" s="32">
        <v>9.0</v>
      </c>
      <c r="H32" s="32">
        <v>23.0</v>
      </c>
      <c r="I32" s="32">
        <v>22.0</v>
      </c>
      <c r="J32" s="32">
        <v>22.0</v>
      </c>
      <c r="K32" s="32">
        <v>21.0</v>
      </c>
      <c r="L32" s="32">
        <v>41.0</v>
      </c>
      <c r="M32" s="32">
        <v>39.0</v>
      </c>
      <c r="N32" s="32">
        <v>44.0</v>
      </c>
      <c r="O32" s="32">
        <v>29.0</v>
      </c>
      <c r="P32" s="32"/>
      <c r="Q32" s="12">
        <f t="shared" si="7"/>
        <v>372</v>
      </c>
      <c r="R32" s="13">
        <f t="shared" si="8"/>
        <v>0.1630148992</v>
      </c>
    </row>
    <row r="33" ht="14.25" customHeight="1">
      <c r="A33" s="27"/>
      <c r="B33" s="33" t="s">
        <v>34</v>
      </c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12">
        <f t="shared" si="7"/>
        <v>0</v>
      </c>
      <c r="R33" s="13">
        <f t="shared" si="8"/>
        <v>0</v>
      </c>
    </row>
    <row r="34" ht="14.25" customHeight="1">
      <c r="A34" s="27"/>
      <c r="B34" s="33" t="s">
        <v>35</v>
      </c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12">
        <f t="shared" si="7"/>
        <v>0</v>
      </c>
      <c r="R34" s="13">
        <f t="shared" si="8"/>
        <v>0</v>
      </c>
    </row>
    <row r="35" ht="14.25" customHeight="1">
      <c r="A35" s="27"/>
      <c r="B35" s="33" t="s">
        <v>36</v>
      </c>
      <c r="C35" s="32"/>
      <c r="D35" s="32"/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12">
        <f t="shared" si="7"/>
        <v>0</v>
      </c>
      <c r="R35" s="13">
        <f t="shared" si="8"/>
        <v>0</v>
      </c>
    </row>
    <row r="36" ht="14.25" customHeight="1">
      <c r="A36" s="27"/>
      <c r="B36" s="33" t="s">
        <v>37</v>
      </c>
      <c r="C36" s="34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12">
        <f t="shared" si="7"/>
        <v>0</v>
      </c>
      <c r="R36" s="13">
        <f t="shared" si="8"/>
        <v>0</v>
      </c>
    </row>
  </sheetData>
  <mergeCells count="3">
    <mergeCell ref="A1:R1"/>
    <mergeCell ref="A18:R18"/>
    <mergeCell ref="A29:R29"/>
  </mergeCells>
  <drawing r:id="rId1"/>
  <tableParts count="3">
    <tablePart r:id="rId5"/>
    <tablePart r:id="rId6"/>
    <tablePart r:id="rId7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sheetData>
    <row r="1">
      <c r="A1" s="35" t="str">
        <f>Fluxo!A2</f>
        <v>TOTAL</v>
      </c>
      <c r="F1" s="35">
        <v>2.0</v>
      </c>
      <c r="G1" t="str">
        <f t="array" ref="G1:G18">TRANSPOSE(Dados!2:2)</f>
        <v>ORIGEM</v>
      </c>
    </row>
    <row r="2">
      <c r="F2" s="35">
        <v>3.0</v>
      </c>
      <c r="G2" t="s">
        <v>18</v>
      </c>
    </row>
    <row r="3">
      <c r="A3" t="str">
        <f>Dados!A3</f>
        <v>Centro</v>
      </c>
      <c r="B3" t="str">
        <f>Dados!B3</f>
        <v>Lagoa do Araçá</v>
      </c>
      <c r="F3" s="35">
        <v>4.0</v>
      </c>
      <c r="G3">
        <v>6.0</v>
      </c>
      <c r="Q3">
        <f>HLOOKUP($A$1,Dados!$C$2:$R$14,F1,0)</f>
        <v>129</v>
      </c>
    </row>
    <row r="4">
      <c r="A4" t="str">
        <f>Dados!A4</f>
        <v>Centro</v>
      </c>
      <c r="B4" t="str">
        <f>Dados!B4</f>
        <v>Jaboatão</v>
      </c>
      <c r="F4" s="35">
        <v>5.0</v>
      </c>
      <c r="G4">
        <v>7.0</v>
      </c>
      <c r="Q4">
        <f>HLOOKUP($A$1,Dados!$C$2:$R$14,F2,0)</f>
        <v>569</v>
      </c>
    </row>
    <row r="5">
      <c r="A5" t="str">
        <f>Dados!A5</f>
        <v>Centro</v>
      </c>
      <c r="B5" t="str">
        <f>Dados!B5</f>
        <v>Boa Viagem</v>
      </c>
      <c r="F5" s="35">
        <v>6.0</v>
      </c>
      <c r="G5">
        <v>8.0</v>
      </c>
      <c r="Q5">
        <f>HLOOKUP($A$1,Dados!$C$2:$R$14,F3,0)</f>
        <v>87</v>
      </c>
    </row>
    <row r="6">
      <c r="A6" t="str">
        <f>Dados!A6</f>
        <v>Boa Viagem</v>
      </c>
      <c r="B6" t="str">
        <f>Dados!B6</f>
        <v>Centro</v>
      </c>
      <c r="F6" s="35">
        <v>7.0</v>
      </c>
      <c r="G6">
        <v>9.0</v>
      </c>
      <c r="Q6">
        <f>HLOOKUP($A$1,Dados!$C$2:$R$14,F4,0)</f>
        <v>64</v>
      </c>
    </row>
    <row r="7">
      <c r="A7" t="str">
        <f>Dados!A7</f>
        <v>Boa Viagem</v>
      </c>
      <c r="B7" t="str">
        <f>Dados!B7</f>
        <v>Lagoa do Araçá</v>
      </c>
      <c r="F7" s="35">
        <v>8.0</v>
      </c>
      <c r="G7">
        <v>10.0</v>
      </c>
      <c r="Q7">
        <f>HLOOKUP($A$1,Dados!$C$2:$R$14,F5,0)</f>
        <v>152</v>
      </c>
    </row>
    <row r="8">
      <c r="A8" t="str">
        <f>Dados!A8</f>
        <v>Boa Viagem</v>
      </c>
      <c r="B8" t="str">
        <f>Dados!B8</f>
        <v>Jaboatão</v>
      </c>
      <c r="F8" s="35">
        <v>9.0</v>
      </c>
      <c r="G8">
        <v>11.0</v>
      </c>
      <c r="Q8">
        <f>HLOOKUP($A$1,Dados!$C$2:$R$14,F6,0)</f>
        <v>101</v>
      </c>
    </row>
    <row r="9">
      <c r="A9" t="str">
        <f>Dados!A9</f>
        <v>Jaboatão</v>
      </c>
      <c r="B9" t="str">
        <f>Dados!B9</f>
        <v>Boa Viagem</v>
      </c>
      <c r="F9" s="35">
        <v>10.0</v>
      </c>
      <c r="G9">
        <v>12.0</v>
      </c>
      <c r="Q9">
        <f>HLOOKUP($A$1,Dados!$C$2:$R$14,F7,0)</f>
        <v>101</v>
      </c>
    </row>
    <row r="10">
      <c r="A10" t="str">
        <f>Dados!A10</f>
        <v>Jaboatão</v>
      </c>
      <c r="B10" t="str">
        <f>Dados!B10</f>
        <v>Centro</v>
      </c>
      <c r="F10" s="35">
        <v>11.0</v>
      </c>
      <c r="G10">
        <v>13.0</v>
      </c>
      <c r="Q10">
        <f>HLOOKUP($A$1,Dados!$C$2:$R$14,F8,0)</f>
        <v>489</v>
      </c>
    </row>
    <row r="11">
      <c r="A11" t="str">
        <f>Dados!A11</f>
        <v>Jaboatão</v>
      </c>
      <c r="B11" t="str">
        <f>Dados!B11</f>
        <v>Lagoa do Araçá</v>
      </c>
      <c r="F11" s="35">
        <v>12.0</v>
      </c>
      <c r="G11">
        <v>14.0</v>
      </c>
      <c r="Q11">
        <f>HLOOKUP($A$1,Dados!$C$2:$R$14,F9,0)</f>
        <v>182</v>
      </c>
    </row>
    <row r="12">
      <c r="A12" t="str">
        <f>Dados!A12</f>
        <v>Lagoa do Araçá</v>
      </c>
      <c r="B12" t="str">
        <f>Dados!B12</f>
        <v>Jaboatão</v>
      </c>
      <c r="F12" s="35">
        <v>13.0</v>
      </c>
      <c r="G12">
        <v>15.0</v>
      </c>
      <c r="Q12">
        <f>HLOOKUP($A$1,Dados!$C$2:$R$14,F10,0)</f>
        <v>141</v>
      </c>
    </row>
    <row r="13">
      <c r="A13" t="str">
        <f>Dados!A13</f>
        <v>Lagoa do Araçá</v>
      </c>
      <c r="B13" t="str">
        <f>Dados!B13</f>
        <v>Boa Viagem</v>
      </c>
      <c r="G13">
        <v>16.0</v>
      </c>
      <c r="Q13">
        <f>HLOOKUP($A$1,Dados!$C$2:$R$14,F11,0)</f>
        <v>165</v>
      </c>
    </row>
    <row r="14">
      <c r="A14" t="str">
        <f>Dados!A14</f>
        <v>Lagoa do Araçá</v>
      </c>
      <c r="B14" t="str">
        <f>Dados!B14</f>
        <v>Centro</v>
      </c>
      <c r="G14">
        <v>17.0</v>
      </c>
      <c r="Q14">
        <f>HLOOKUP($A$1,Dados!$C$2:$R$14,F12,0)</f>
        <v>102</v>
      </c>
    </row>
    <row r="15">
      <c r="G15">
        <v>18.0</v>
      </c>
    </row>
    <row r="16">
      <c r="G16">
        <v>19.0</v>
      </c>
    </row>
    <row r="17">
      <c r="G17" t="s">
        <v>19</v>
      </c>
    </row>
    <row r="18">
      <c r="G18" s="36" t="s">
        <v>20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14.13"/>
    <col customWidth="1" min="2" max="15" width="6.38"/>
  </cols>
  <sheetData>
    <row r="1">
      <c r="A1" s="37" t="s">
        <v>38</v>
      </c>
    </row>
    <row r="2">
      <c r="A2" s="38" t="s">
        <v>39</v>
      </c>
      <c r="B2" s="39">
        <f>Dados!C2</f>
        <v>6</v>
      </c>
      <c r="C2" s="39">
        <f>Dados!D2</f>
        <v>7</v>
      </c>
      <c r="D2" s="39">
        <f>Dados!E2</f>
        <v>8</v>
      </c>
      <c r="E2" s="39">
        <f>Dados!F2</f>
        <v>9</v>
      </c>
      <c r="F2" s="39">
        <f>Dados!G2</f>
        <v>10</v>
      </c>
      <c r="G2" s="39">
        <f>Dados!H2</f>
        <v>11</v>
      </c>
      <c r="H2" s="39">
        <f>Dados!I2</f>
        <v>12</v>
      </c>
      <c r="I2" s="39">
        <f>Dados!J2</f>
        <v>13</v>
      </c>
      <c r="J2" s="39">
        <f>Dados!K2</f>
        <v>14</v>
      </c>
      <c r="K2" s="39">
        <f>Dados!L2</f>
        <v>15</v>
      </c>
      <c r="L2" s="39">
        <f>Dados!M2</f>
        <v>16</v>
      </c>
      <c r="M2" s="39">
        <f>Dados!N2</f>
        <v>17</v>
      </c>
      <c r="N2" s="39">
        <f>Dados!O2</f>
        <v>18</v>
      </c>
      <c r="O2" s="39">
        <f>Dados!P2</f>
        <v>19</v>
      </c>
    </row>
    <row r="3">
      <c r="A3" s="40" t="s">
        <v>40</v>
      </c>
      <c r="B3" s="41">
        <f>Dados!C15-B4-B5</f>
        <v>217</v>
      </c>
      <c r="C3" s="41">
        <f>Dados!D15-C4-C5</f>
        <v>254</v>
      </c>
      <c r="D3" s="41">
        <f>Dados!E15-D4-D5</f>
        <v>139</v>
      </c>
      <c r="E3" s="41">
        <f>Dados!F15-E4-E5</f>
        <v>124</v>
      </c>
      <c r="F3" s="41">
        <f>Dados!G15-F4-F5</f>
        <v>108</v>
      </c>
      <c r="G3" s="41">
        <f>Dados!H15-G4-G5</f>
        <v>99</v>
      </c>
      <c r="H3" s="41">
        <f>Dados!I15-H4-H5</f>
        <v>143</v>
      </c>
      <c r="I3" s="41">
        <f>Dados!J15-I4-I5</f>
        <v>114</v>
      </c>
      <c r="J3" s="41">
        <f>Dados!K15-J4-J5</f>
        <v>109</v>
      </c>
      <c r="K3" s="41">
        <f>Dados!L15-K4-K5</f>
        <v>127</v>
      </c>
      <c r="L3" s="41">
        <f>Dados!M15-L4-L5</f>
        <v>139</v>
      </c>
      <c r="M3" s="41">
        <f>Dados!N15-M4-M5</f>
        <v>242</v>
      </c>
      <c r="N3" s="41">
        <f>Dados!O15-N4-N5</f>
        <v>140</v>
      </c>
      <c r="O3" s="41">
        <f>Dados!P15-O4-O5</f>
        <v>147</v>
      </c>
    </row>
    <row r="4">
      <c r="A4" s="38" t="s">
        <v>41</v>
      </c>
      <c r="B4" s="39">
        <f>Dados!C20</f>
        <v>14</v>
      </c>
      <c r="C4" s="39">
        <f>Dados!D20</f>
        <v>28</v>
      </c>
      <c r="D4" s="39">
        <f>Dados!E20</f>
        <v>4</v>
      </c>
      <c r="E4" s="39">
        <f>Dados!F20</f>
        <v>6</v>
      </c>
      <c r="F4" s="39">
        <f>Dados!G20</f>
        <v>10</v>
      </c>
      <c r="G4" s="39">
        <f>Dados!H20</f>
        <v>21</v>
      </c>
      <c r="H4" s="39">
        <f>Dados!I20</f>
        <v>7</v>
      </c>
      <c r="I4" s="39">
        <f>Dados!J20</f>
        <v>11</v>
      </c>
      <c r="J4" s="39">
        <f>Dados!K20</f>
        <v>5</v>
      </c>
      <c r="K4" s="39">
        <f>Dados!L20</f>
        <v>10</v>
      </c>
      <c r="L4" s="39">
        <f>Dados!M20</f>
        <v>14</v>
      </c>
      <c r="M4" s="39">
        <f>Dados!N20</f>
        <v>24</v>
      </c>
      <c r="N4" s="39">
        <f>Dados!O20</f>
        <v>26</v>
      </c>
      <c r="O4" s="39" t="str">
        <f>Dados!P20</f>
        <v/>
      </c>
    </row>
    <row r="5">
      <c r="A5" s="40" t="s">
        <v>9</v>
      </c>
      <c r="B5" s="41" t="str">
        <f>Dados!C21</f>
        <v/>
      </c>
      <c r="C5" s="41" t="str">
        <f>Dados!D21</f>
        <v/>
      </c>
      <c r="D5" s="41" t="str">
        <f>Dados!E21</f>
        <v/>
      </c>
      <c r="E5" s="41" t="str">
        <f>Dados!F21</f>
        <v/>
      </c>
      <c r="F5" s="41" t="str">
        <f>Dados!G21</f>
        <v/>
      </c>
      <c r="G5" s="41" t="str">
        <f>Dados!H21</f>
        <v/>
      </c>
      <c r="H5" s="41" t="str">
        <f>Dados!I21</f>
        <v/>
      </c>
      <c r="I5" s="41" t="str">
        <f>Dados!J21</f>
        <v/>
      </c>
      <c r="J5" s="41" t="str">
        <f>Dados!K21</f>
        <v/>
      </c>
      <c r="K5" s="41" t="str">
        <f>Dados!L21</f>
        <v/>
      </c>
      <c r="L5" s="41" t="str">
        <f>Dados!M21</f>
        <v/>
      </c>
      <c r="M5" s="41" t="str">
        <f>Dados!N21</f>
        <v/>
      </c>
      <c r="N5" s="41" t="str">
        <f>Dados!O21</f>
        <v/>
      </c>
      <c r="O5" s="41" t="str">
        <f>Dados!P21</f>
        <v/>
      </c>
    </row>
    <row r="7">
      <c r="A7" s="42" t="s">
        <v>42</v>
      </c>
    </row>
    <row r="8">
      <c r="A8" s="43" t="s">
        <v>43</v>
      </c>
      <c r="B8" s="39">
        <v>6.0</v>
      </c>
      <c r="C8" s="39">
        <v>7.0</v>
      </c>
      <c r="D8" s="39">
        <v>8.0</v>
      </c>
      <c r="E8" s="39">
        <v>9.0</v>
      </c>
      <c r="F8" s="39">
        <v>10.0</v>
      </c>
      <c r="G8" s="39">
        <v>11.0</v>
      </c>
      <c r="H8" s="39">
        <v>12.0</v>
      </c>
      <c r="I8" s="39">
        <v>13.0</v>
      </c>
      <c r="J8" s="39">
        <v>14.0</v>
      </c>
      <c r="K8" s="39">
        <v>15.0</v>
      </c>
      <c r="L8" s="39">
        <v>16.0</v>
      </c>
      <c r="M8" s="39">
        <v>17.0</v>
      </c>
      <c r="N8" s="39">
        <v>18.0</v>
      </c>
      <c r="O8" s="39">
        <v>19.0</v>
      </c>
    </row>
    <row r="9">
      <c r="A9" s="44" t="s">
        <v>41</v>
      </c>
      <c r="B9" s="45">
        <f>B4/Dados!C$15</f>
        <v>0.06060606061</v>
      </c>
      <c r="C9" s="45">
        <f>C4/Dados!D$15</f>
        <v>0.09929078014</v>
      </c>
      <c r="D9" s="45">
        <f>D4/Dados!E$15</f>
        <v>0.02797202797</v>
      </c>
      <c r="E9" s="45">
        <f>E4/Dados!F$15</f>
        <v>0.04615384615</v>
      </c>
      <c r="F9" s="45">
        <f>F4/Dados!G$15</f>
        <v>0.08474576271</v>
      </c>
      <c r="G9" s="45">
        <f>G4/Dados!H$15</f>
        <v>0.175</v>
      </c>
      <c r="H9" s="45">
        <f>H4/Dados!I$15</f>
        <v>0.04666666667</v>
      </c>
      <c r="I9" s="45">
        <f>I4/Dados!J$15</f>
        <v>0.088</v>
      </c>
      <c r="J9" s="45">
        <f>J4/Dados!K$15</f>
        <v>0.04385964912</v>
      </c>
      <c r="K9" s="45">
        <f>K4/Dados!L$15</f>
        <v>0.07299270073</v>
      </c>
      <c r="L9" s="45">
        <f>L4/Dados!M$15</f>
        <v>0.09150326797</v>
      </c>
      <c r="M9" s="45">
        <f>M4/Dados!N$15</f>
        <v>0.09022556391</v>
      </c>
      <c r="N9" s="45">
        <f>N4/Dados!O$15</f>
        <v>0.156626506</v>
      </c>
      <c r="O9" s="45">
        <f>O4/Dados!P$15</f>
        <v>0</v>
      </c>
    </row>
    <row r="10">
      <c r="A10" s="43" t="s">
        <v>9</v>
      </c>
      <c r="B10" s="46">
        <f>B5/Dados!C$15</f>
        <v>0</v>
      </c>
      <c r="C10" s="46">
        <f>C5/Dados!D$15</f>
        <v>0</v>
      </c>
      <c r="D10" s="46">
        <f>D5/Dados!E$15</f>
        <v>0</v>
      </c>
      <c r="E10" s="46">
        <f>E5/Dados!F$15</f>
        <v>0</v>
      </c>
      <c r="F10" s="46">
        <f>F5/Dados!G$15</f>
        <v>0</v>
      </c>
      <c r="G10" s="46">
        <f>G5/Dados!H$15</f>
        <v>0</v>
      </c>
      <c r="H10" s="46">
        <f>H5/Dados!I$15</f>
        <v>0</v>
      </c>
      <c r="I10" s="46">
        <f>I5/Dados!J$15</f>
        <v>0</v>
      </c>
      <c r="J10" s="46">
        <f>J5/Dados!K$15</f>
        <v>0</v>
      </c>
      <c r="K10" s="46">
        <f>K5/Dados!L$15</f>
        <v>0</v>
      </c>
      <c r="L10" s="46">
        <f>L5/Dados!M$15</f>
        <v>0</v>
      </c>
      <c r="M10" s="46">
        <f>M5/Dados!N$15</f>
        <v>0</v>
      </c>
      <c r="N10" s="46">
        <f>N5/Dados!O$15</f>
        <v>0</v>
      </c>
      <c r="O10" s="46">
        <f>O5/Dados!P$15</f>
        <v>0</v>
      </c>
    </row>
    <row r="12">
      <c r="A12" s="47" t="str">
        <f>Dados!B19</f>
        <v>Característica</v>
      </c>
      <c r="B12" s="48" t="str">
        <f>Dados!R19</f>
        <v>%</v>
      </c>
      <c r="C12" s="49"/>
      <c r="D12" s="49"/>
      <c r="E12" s="49"/>
      <c r="F12" s="49"/>
      <c r="G12" s="49"/>
      <c r="H12" s="49"/>
      <c r="I12" s="49"/>
      <c r="J12" s="49"/>
      <c r="K12" s="49"/>
      <c r="L12" s="49"/>
      <c r="M12" s="49"/>
      <c r="N12" s="49"/>
    </row>
    <row r="13">
      <c r="A13" s="47" t="str">
        <f>Dados!B20</f>
        <v>Mulher</v>
      </c>
      <c r="B13" s="48">
        <f>Dados!R20</f>
        <v>0.07887817704</v>
      </c>
    </row>
    <row r="14">
      <c r="A14" s="47" t="str">
        <f>Dados!B21</f>
        <v>Crianças e adolescentes</v>
      </c>
      <c r="B14" s="48">
        <f>Dados!R21</f>
        <v>0</v>
      </c>
    </row>
    <row r="15">
      <c r="A15" s="47" t="str">
        <f>Dados!B22</f>
        <v>Capacete</v>
      </c>
      <c r="B15" s="48">
        <f>Dados!R22</f>
        <v>0.03418054338</v>
      </c>
    </row>
    <row r="16">
      <c r="A16" s="47" t="s">
        <v>11</v>
      </c>
      <c r="B16" s="48">
        <f>SUM(Dados!R23)</f>
        <v>0.05784399649</v>
      </c>
    </row>
    <row r="17">
      <c r="A17" s="47" t="str">
        <f>Dados!B24</f>
        <v>Cargueira</v>
      </c>
      <c r="B17" s="48">
        <f>Dados!R24</f>
        <v>0.2063978966</v>
      </c>
    </row>
    <row r="18">
      <c r="A18" s="47" t="str">
        <f>Dados!B25</f>
        <v>Serviço</v>
      </c>
      <c r="B18" s="48">
        <f>Dados!R25</f>
        <v>0.03856266433</v>
      </c>
    </row>
    <row r="19">
      <c r="A19" s="47" t="str">
        <f>Dados!B26</f>
        <v>Contramao</v>
      </c>
      <c r="B19" s="48">
        <f>Dados!R26</f>
        <v>0.08150744961</v>
      </c>
    </row>
    <row r="20">
      <c r="A20" s="47" t="str">
        <f>Dados!B27</f>
        <v>Calçada</v>
      </c>
      <c r="B20" s="48">
        <f>Dados!R27</f>
        <v>0</v>
      </c>
    </row>
    <row r="21">
      <c r="A21" s="49"/>
      <c r="B21" s="49"/>
    </row>
    <row r="22">
      <c r="A22" s="49"/>
      <c r="B22" s="49"/>
    </row>
    <row r="23">
      <c r="A23" s="49"/>
      <c r="B23" s="49"/>
    </row>
    <row r="24">
      <c r="A24" s="49"/>
      <c r="B24" s="49"/>
    </row>
    <row r="25">
      <c r="A25" s="49"/>
      <c r="B25" s="49"/>
    </row>
    <row r="26">
      <c r="A26" s="49"/>
      <c r="B26" s="49"/>
    </row>
    <row r="27">
      <c r="A27" s="49"/>
      <c r="B27" s="49"/>
    </row>
    <row r="28">
      <c r="A28" s="49"/>
      <c r="B28" s="49"/>
    </row>
    <row r="29">
      <c r="A29" s="49"/>
      <c r="B29" s="49"/>
    </row>
  </sheetData>
  <mergeCells count="2">
    <mergeCell ref="A1:O1"/>
    <mergeCell ref="A7:O7"/>
  </mergeCell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3.88"/>
    <col customWidth="1" min="2" max="2" width="4.75"/>
    <col customWidth="1" min="3" max="3" width="3.88"/>
    <col customWidth="1" min="4" max="4" width="5.0"/>
    <col customWidth="1" min="5" max="7" width="11.38"/>
    <col customWidth="1" min="8" max="8" width="4.38"/>
    <col customWidth="1" min="9" max="9" width="4.5"/>
    <col customWidth="1" min="10" max="11" width="3.88"/>
  </cols>
  <sheetData>
    <row r="1" ht="22.5" customHeight="1">
      <c r="A1" s="50" t="s">
        <v>44</v>
      </c>
      <c r="B1" s="51"/>
      <c r="C1" s="52"/>
      <c r="D1" s="53"/>
      <c r="E1" s="54" t="str">
        <f>UPPER(CONFFLUXO!A3)</f>
        <v>CENTRO</v>
      </c>
      <c r="F1" s="51"/>
      <c r="G1" s="52"/>
      <c r="H1" s="55"/>
      <c r="I1" s="55"/>
      <c r="J1" s="55"/>
      <c r="K1" s="55"/>
    </row>
    <row r="2" ht="22.5" customHeight="1">
      <c r="A2" s="50" t="s">
        <v>19</v>
      </c>
      <c r="B2" s="51"/>
      <c r="C2" s="52"/>
      <c r="D2" s="53"/>
      <c r="E2" s="56">
        <f>SUM(E3:G3)</f>
        <v>785</v>
      </c>
      <c r="F2" s="51"/>
      <c r="G2" s="52"/>
      <c r="H2" s="55"/>
      <c r="I2" s="55"/>
      <c r="J2" s="55"/>
      <c r="K2" s="55"/>
    </row>
    <row r="3" ht="22.5" customHeight="1">
      <c r="A3" s="57"/>
      <c r="B3" s="57"/>
      <c r="C3" s="57"/>
      <c r="D3" s="58"/>
      <c r="E3" s="59">
        <f>CONFFLUXO!Q3</f>
        <v>129</v>
      </c>
      <c r="F3" s="59">
        <f>CONFFLUXO!Q4</f>
        <v>569</v>
      </c>
      <c r="G3" s="59">
        <f>CONFFLUXO!Q5</f>
        <v>87</v>
      </c>
      <c r="H3" s="55"/>
      <c r="I3" s="55"/>
      <c r="J3" s="55"/>
      <c r="K3" s="55"/>
    </row>
    <row r="4" ht="25.5" customHeight="1">
      <c r="A4" s="60"/>
      <c r="B4" s="60"/>
      <c r="C4" s="57"/>
      <c r="D4" s="57"/>
      <c r="E4" s="55"/>
      <c r="F4" s="55"/>
      <c r="G4" s="55"/>
      <c r="H4" s="61"/>
      <c r="I4" s="61"/>
      <c r="J4" s="62"/>
      <c r="K4" s="62"/>
    </row>
    <row r="5" ht="71.25" customHeight="1">
      <c r="A5" s="63" t="str">
        <f>UPPER(CONFFLUXO!A12)</f>
        <v>LAGOA DO ARAÇÁ</v>
      </c>
      <c r="B5" s="64">
        <f>SUM(C5:C7)</f>
        <v>408</v>
      </c>
      <c r="C5" s="65">
        <f>CONFFLUXO!Q14</f>
        <v>102</v>
      </c>
      <c r="D5" s="57"/>
      <c r="E5" s="55"/>
      <c r="F5" s="55"/>
      <c r="G5" s="55"/>
      <c r="H5" s="61"/>
      <c r="I5" s="66">
        <f>CONFFLUXO!Q6</f>
        <v>64</v>
      </c>
      <c r="J5" s="67">
        <f>SUM(I5:I7)</f>
        <v>317</v>
      </c>
      <c r="K5" s="68" t="str">
        <f>UPPER(CONFFLUXO!A6)</f>
        <v>BOA VIAGEM</v>
      </c>
    </row>
    <row r="6" ht="71.25" customHeight="1">
      <c r="A6" s="69"/>
      <c r="B6" s="69"/>
      <c r="C6" s="65">
        <f>CONFFLUXO!Q13</f>
        <v>165</v>
      </c>
      <c r="D6" s="57"/>
      <c r="E6" s="55"/>
      <c r="F6" s="70">
        <f>SUM(E3:G3,I5:I7,E9:G9,C5:C7)</f>
        <v>2282</v>
      </c>
      <c r="G6" s="55"/>
      <c r="H6" s="61"/>
      <c r="I6" s="66">
        <f>CONFFLUXO!Q7</f>
        <v>152</v>
      </c>
      <c r="J6" s="69"/>
      <c r="K6" s="69"/>
    </row>
    <row r="7" ht="71.25" customHeight="1">
      <c r="A7" s="71"/>
      <c r="B7" s="71"/>
      <c r="C7" s="65">
        <f>CONFFLUXO!Q12</f>
        <v>141</v>
      </c>
      <c r="D7" s="57"/>
      <c r="E7" s="55"/>
      <c r="F7" s="55"/>
      <c r="G7" s="55"/>
      <c r="H7" s="61"/>
      <c r="I7" s="66">
        <f>CONFFLUXO!Q8</f>
        <v>101</v>
      </c>
      <c r="J7" s="71"/>
      <c r="K7" s="71"/>
    </row>
    <row r="8" ht="27.0" customHeight="1">
      <c r="A8" s="57"/>
      <c r="B8" s="57"/>
      <c r="C8" s="57"/>
      <c r="D8" s="57"/>
      <c r="E8" s="55"/>
      <c r="F8" s="55"/>
      <c r="G8" s="55"/>
      <c r="H8" s="55"/>
      <c r="I8" s="55"/>
      <c r="J8" s="55"/>
      <c r="K8" s="55"/>
    </row>
    <row r="9" ht="22.5" customHeight="1">
      <c r="A9" s="57"/>
      <c r="B9" s="57"/>
      <c r="C9" s="72"/>
      <c r="D9" s="72"/>
      <c r="E9" s="73">
        <f>CONFFLUXO!Q11</f>
        <v>182</v>
      </c>
      <c r="F9" s="73">
        <f>CONFFLUXO!Q10</f>
        <v>489</v>
      </c>
      <c r="G9" s="73">
        <f>CONFFLUXO!Q9</f>
        <v>101</v>
      </c>
      <c r="H9" s="55"/>
      <c r="I9" s="55"/>
      <c r="J9" s="55"/>
      <c r="K9" s="55"/>
    </row>
    <row r="10" ht="22.5" customHeight="1">
      <c r="A10" s="57"/>
      <c r="B10" s="57"/>
      <c r="C10" s="57"/>
      <c r="D10" s="57"/>
      <c r="E10" s="74">
        <f>SUM(E9:G9)</f>
        <v>772</v>
      </c>
      <c r="F10" s="51"/>
      <c r="G10" s="52"/>
      <c r="H10" s="55"/>
      <c r="I10" s="55"/>
      <c r="J10" s="55"/>
      <c r="K10" s="55"/>
    </row>
    <row r="11" ht="22.5" customHeight="1">
      <c r="A11" s="57"/>
      <c r="B11" s="57"/>
      <c r="C11" s="57"/>
      <c r="D11" s="57"/>
      <c r="E11" s="54" t="str">
        <f>UPPER(CONFFLUXO!A9)</f>
        <v>JABOATÃO</v>
      </c>
      <c r="F11" s="51"/>
      <c r="G11" s="52"/>
      <c r="H11" s="55"/>
      <c r="I11" s="55"/>
      <c r="J11" s="55"/>
      <c r="K11" s="75">
        <f>MAX(3:3,I:I,9:9,C:C)</f>
        <v>569</v>
      </c>
    </row>
  </sheetData>
  <mergeCells count="10">
    <mergeCell ref="E2:G2"/>
    <mergeCell ref="E10:G10"/>
    <mergeCell ref="E11:G11"/>
    <mergeCell ref="A1:C1"/>
    <mergeCell ref="E1:G1"/>
    <mergeCell ref="A2:C2"/>
    <mergeCell ref="A5:A7"/>
    <mergeCell ref="B5:B7"/>
    <mergeCell ref="J5:J7"/>
    <mergeCell ref="K5:K7"/>
  </mergeCells>
  <conditionalFormatting sqref="A1:K10">
    <cfRule type="cellIs" dxfId="5" priority="1" operator="equal">
      <formula>MAX(3:3,I:I,9:9,C:C)</formula>
    </cfRule>
  </conditionalFormatting>
  <dataValidations>
    <dataValidation type="list" allowBlank="1" sqref="A2">
      <formula1>CONFFLUXO!$G$3:$G$18</formula1>
    </dataValidation>
  </dataValidations>
  <drawing r:id="rId1"/>
</worksheet>
</file>