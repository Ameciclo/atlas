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<sst xmlns="http://schemas.openxmlformats.org/spreadsheetml/2006/main" count="86" uniqueCount="47">
  <si>
    <t>Cruzamento</t>
  </si>
  <si>
    <t>Av. Mascarenhas de Moraes x R. Eng. Alves de Souza</t>
  </si>
  <si>
    <t>Data</t>
  </si>
  <si>
    <t>Coordenadas Geográficas</t>
  </si>
  <si>
    <t>-8.09845, -34.91019</t>
  </si>
  <si>
    <t>Relatório</t>
  </si>
  <si>
    <t>https://drive.google.com/file/d/0B2qmPJcv0zhjQ0FrMHEwZXR0LVk/view?usp=sharing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</si>
  <si>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</si>
  <si>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</si>
  <si>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</si>
  <si>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</si>
  <si>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</si>
  <si>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</si>
  <si>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</si>
  <si>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</si>
  <si>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</si>
  <si>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</si>
  <si>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</si>
  <si>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</si>
  <si>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</si>
  <si>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</si>
  <si>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</si>
  <si>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Centro</t>
  </si>
  <si>
    <t>Lagoa do Araçá</t>
  </si>
  <si>
    <t>Jaboatão</t>
  </si>
  <si>
    <t>Boa Viagem</t>
  </si>
  <si>
    <t>Percentual</t>
  </si>
  <si>
    <t>Dados qualitativos padrões</t>
  </si>
  <si>
    <t>Característica</t>
  </si>
  <si>
    <t>Carona</t>
  </si>
  <si>
    <t>Cargueira</t>
  </si>
  <si>
    <t>Contramao</t>
  </si>
  <si>
    <t>Dados qualitativos das observações</t>
  </si>
  <si>
    <t>Chuveu</t>
  </si>
  <si>
    <t>Contramão para conversão</t>
  </si>
  <si>
    <t>Triciclo</t>
  </si>
  <si>
    <t>Eletrica</t>
  </si>
  <si>
    <t>Skate</t>
  </si>
  <si>
    <t>Handbike</t>
  </si>
  <si>
    <t>Faixa Azul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</si>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</sst>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u/>
      <sz val="12.0"/>
      <color rgb="FF0000FF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10">
    <border/>
    <border>
      <top/>
    </border>
    <border>
      <bottom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1"/>
    </xf>
    <xf borderId="1" fillId="4" fontId="2" numFmtId="0" xfId="0" applyAlignment="1" applyBorder="1" applyFill="1" applyFont="1">
      <alignment horizontal="center" shrinkToFit="0" vertical="bottom" wrapText="1"/>
    </xf>
    <xf borderId="1" fillId="4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0" fontId="2" numFmtId="0" xfId="0" applyAlignment="1" applyFont="1">
      <alignment readingOrder="0" shrinkToFit="0" vertical="bottom" wrapText="1"/>
    </xf>
    <xf borderId="0" fillId="5" fontId="2" numFmtId="0" xfId="0" applyAlignment="1" applyFill="1" applyFont="1">
      <alignment horizontal="center" shrinkToFit="0" vertical="bottom" wrapText="1"/>
    </xf>
    <xf borderId="0" fillId="5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4" fontId="2" numFmtId="0" xfId="0" applyAlignment="1" applyFont="1">
      <alignment horizontal="center" shrinkToFit="0" vertical="bottom" wrapText="1"/>
    </xf>
    <xf borderId="0" fillId="4" fontId="2" numFmtId="0" xfId="0" applyAlignment="1" applyFont="1">
      <alignment horizontal="center" shrinkToFit="0" vertical="bottom" wrapText="1"/>
    </xf>
    <xf borderId="2" fillId="0" fontId="2" numFmtId="0" xfId="0" applyAlignment="1" applyBorder="1" applyFont="1">
      <alignment readingOrder="0" shrinkToFit="0" vertical="bottom" wrapText="1"/>
    </xf>
    <xf borderId="2" fillId="5" fontId="2" numFmtId="0" xfId="0" applyAlignment="1" applyBorder="1" applyFont="1">
      <alignment horizontal="center" shrinkToFit="0" vertical="bottom" wrapText="1"/>
    </xf>
    <xf borderId="2" fillId="5" fontId="2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horizontal="center" shrinkToFit="0" vertical="bottom" wrapText="1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ont="1" applyNumberFormat="1">
      <alignment readingOrder="0" shrinkToFit="0" vertical="bottom" wrapText="0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4" fontId="2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shrinkToFit="0" wrapText="1"/>
    </xf>
    <xf borderId="0" fillId="6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4" fontId="7" numFmtId="0" xfId="0" applyAlignment="1" applyFont="1">
      <alignment shrinkToFit="0" wrapText="1"/>
    </xf>
    <xf borderId="0" fillId="5" fontId="7" numFmtId="0" xfId="0" applyAlignment="1" applyFont="1">
      <alignment readingOrder="0" shrinkToFit="0" wrapText="1"/>
    </xf>
    <xf borderId="0" fillId="5" fontId="7" numFmtId="0" xfId="0" applyAlignment="1" applyFont="1">
      <alignment shrinkToFit="0" wrapText="1"/>
    </xf>
    <xf borderId="0" fillId="7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8" fontId="7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shrinkToFit="0" wrapText="1"/>
    </xf>
    <xf borderId="0" fillId="4" fontId="7" numFmtId="165" xfId="0" applyAlignment="1" applyFont="1" applyNumberForma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3" fillId="0" fontId="8" numFmtId="0" xfId="0" applyAlignment="1" applyBorder="1" applyFont="1">
      <alignment horizontal="center" readingOrder="0" shrinkToFit="0" textRotation="0" vertical="center" wrapText="1"/>
    </xf>
    <xf borderId="4" fillId="0" fontId="7" numFmtId="0" xfId="0" applyAlignment="1" applyBorder="1" applyFont="1">
      <alignment shrinkToFit="0" wrapText="1"/>
    </xf>
    <xf borderId="5" fillId="0" fontId="7" numFmtId="0" xfId="0" applyAlignment="1" applyBorder="1" applyFont="1">
      <alignment shrinkToFit="0" wrapText="1"/>
    </xf>
    <xf borderId="6" fillId="0" fontId="8" numFmtId="0" xfId="0" applyAlignment="1" applyBorder="1" applyFont="1">
      <alignment horizontal="center" readingOrder="0" shrinkToFit="0" textRotation="0" vertical="center" wrapText="1"/>
    </xf>
    <xf borderId="3" fillId="2" fontId="9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3" fillId="3" fontId="9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textRotation="90" vertical="center" wrapText="1"/>
    </xf>
    <xf borderId="6" fillId="0" fontId="8" numFmtId="0" xfId="0" applyAlignment="1" applyBorder="1" applyFont="1">
      <alignment horizontal="center" shrinkToFit="0" textRotation="90" vertical="bottom" wrapText="1"/>
    </xf>
    <xf borderId="6" fillId="0" fontId="8" numFmtId="0" xfId="0" applyAlignment="1" applyBorder="1" applyFont="1">
      <alignment horizontal="center" shrinkToFit="0" vertical="bottom" wrapText="1"/>
    </xf>
    <xf borderId="6" fillId="0" fontId="10" numFmtId="0" xfId="0" applyAlignment="1" applyBorder="1" applyFont="1">
      <alignment horizontal="center" readingOrder="0" shrinkToFit="0" textRotation="90" vertical="center" wrapText="1"/>
    </xf>
    <xf borderId="6" fillId="0" fontId="8" numFmtId="0" xfId="0" applyAlignment="1" applyBorder="1" applyFont="1">
      <alignment horizontal="center" shrinkToFit="0" textRotation="180" vertical="center" wrapText="1"/>
    </xf>
    <xf borderId="6" fillId="0" fontId="10" numFmtId="0" xfId="0" applyAlignment="1" applyBorder="1" applyFont="1">
      <alignment horizontal="center" readingOrder="0" shrinkToFit="0" textRotation="180" vertical="center" wrapText="1"/>
    </xf>
    <xf borderId="7" fillId="2" fontId="9" numFmtId="0" xfId="0" applyAlignment="1" applyBorder="1" applyFont="1">
      <alignment horizontal="center" readingOrder="0" shrinkToFit="0" textRotation="90" vertical="center" wrapText="1"/>
    </xf>
    <xf borderId="7" fillId="3" fontId="9" numFmtId="0" xfId="0" applyAlignment="1" applyBorder="1" applyFont="1">
      <alignment horizontal="center" readingOrder="0" shrinkToFit="0" textRotation="90" vertical="center" wrapText="1"/>
    </xf>
    <xf borderId="6" fillId="0" fontId="8" numFmtId="0" xfId="0" applyAlignment="1" applyBorder="1" applyFont="1">
      <alignment horizontal="right" shrinkToFit="0" textRotation="90" vertical="center" wrapText="1"/>
    </xf>
    <xf borderId="6" fillId="0" fontId="8" numFmtId="0" xfId="0" applyAlignment="1" applyBorder="1" applyFont="1">
      <alignment horizontal="left" shrinkToFit="0" textRotation="180" vertical="center" wrapText="1"/>
    </xf>
    <xf borderId="7" fillId="3" fontId="9" numFmtId="0" xfId="0" applyAlignment="1" applyBorder="1" applyFont="1">
      <alignment horizontal="center" readingOrder="0" shrinkToFit="0" textRotation="180" vertical="center" wrapText="1"/>
    </xf>
    <xf borderId="7" fillId="2" fontId="9" numFmtId="0" xfId="0" applyAlignment="1" applyBorder="1" applyFont="1">
      <alignment horizontal="center" readingOrder="0" shrinkToFit="0" textRotation="180" vertical="center" wrapText="1"/>
    </xf>
    <xf borderId="8" fillId="0" fontId="7" numFmtId="0" xfId="0" applyAlignment="1" applyBorder="1" applyFont="1">
      <alignment shrinkToFit="0" wrapText="1"/>
    </xf>
    <xf borderId="6" fillId="2" fontId="11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shrinkToFit="0" wrapText="1"/>
    </xf>
    <xf borderId="6" fillId="0" fontId="8" numFmtId="0" xfId="0" applyAlignment="1" applyBorder="1" applyFont="1">
      <alignment horizontal="center" shrinkToFit="0" textRotation="90" vertical="top" wrapText="1"/>
    </xf>
    <xf borderId="6" fillId="0" fontId="8" numFmtId="0" xfId="0" applyAlignment="1" applyBorder="1" applyFont="1">
      <alignment horizontal="center" shrinkToFit="0" vertical="top" wrapText="1"/>
    </xf>
    <xf borderId="3" fillId="3" fontId="9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711476754"/>
        <c:axId val="81446156"/>
      </c:barChart>
      <c:catAx>
        <c:axId val="1711476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1446156"/>
      </c:catAx>
      <c:valAx>
        <c:axId val="81446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114767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2020426960"/>
        <c:axId val="561624442"/>
      </c:barChart>
      <c:catAx>
        <c:axId val="2020426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1624442"/>
      </c:catAx>
      <c:valAx>
        <c:axId val="561624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04269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848631923"/>
        <c:axId val="1516341225"/>
      </c:barChart>
      <c:catAx>
        <c:axId val="18486319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16341225"/>
      </c:catAx>
      <c:valAx>
        <c:axId val="15163412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486319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1:P37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0B2qmPJcv0zhjQ0FrMHEwZXR0LVk/view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41738.0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Dados!Q15</f>
        <v>1386</v>
      </c>
    </row>
    <row r="6">
      <c r="A6" s="4" t="s">
        <v>8</v>
      </c>
      <c r="B6" s="7">
        <f>MAX(Dados!C15:P15)</f>
        <v>199</v>
      </c>
    </row>
    <row r="7">
      <c r="A7" s="8" t="s">
        <v>9</v>
      </c>
      <c r="B7" s="9">
        <f>Dados!R20</f>
        <v>0.06277056277</v>
      </c>
    </row>
    <row r="8">
      <c r="A8" s="8" t="s">
        <v>10</v>
      </c>
      <c r="B8" s="9">
        <f>Dados!R21</f>
        <v>0</v>
      </c>
    </row>
    <row r="9">
      <c r="A9" s="8" t="s">
        <v>11</v>
      </c>
      <c r="B9" s="9">
        <f>Dados!R22</f>
        <v>0.02886002886</v>
      </c>
    </row>
    <row r="10">
      <c r="A10" s="8" t="s">
        <v>12</v>
      </c>
      <c r="B10" s="9">
        <f>Dados!R23</f>
        <v>0.05483405483</v>
      </c>
    </row>
    <row r="11">
      <c r="A11" s="8" t="s">
        <v>13</v>
      </c>
      <c r="B11" s="9">
        <f>Dados!R24</f>
        <v>0.1681096681</v>
      </c>
    </row>
    <row r="12">
      <c r="A12" s="8" t="s">
        <v>14</v>
      </c>
      <c r="B12" s="9">
        <f>Dados!R25</f>
        <v>0.03751803752</v>
      </c>
    </row>
    <row r="13">
      <c r="A13" s="8" t="s">
        <v>15</v>
      </c>
      <c r="B13" s="9">
        <f>Dados!R26</f>
        <v>0.1565656566</v>
      </c>
    </row>
    <row r="14">
      <c r="A14" s="8" t="s">
        <v>16</v>
      </c>
      <c r="B14" s="9">
        <f>Dados!R27</f>
        <v>0</v>
      </c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38"/>
    <col customWidth="1" min="17" max="17" width="8.75"/>
    <col customWidth="1" min="18" max="18" width="8.5"/>
  </cols>
  <sheetData>
    <row r="1" ht="12.0" customHeight="1">
      <c r="A1" s="10" t="s">
        <v>17</v>
      </c>
    </row>
    <row r="2" ht="12.0" customHeight="1">
      <c r="A2" s="11" t="s">
        <v>18</v>
      </c>
      <c r="B2" s="11" t="s">
        <v>19</v>
      </c>
      <c r="C2" s="12">
        <v>6.0</v>
      </c>
      <c r="D2" s="12">
        <v>7.0</v>
      </c>
      <c r="E2" s="12">
        <v>8.0</v>
      </c>
      <c r="F2" s="12">
        <v>9.0</v>
      </c>
      <c r="G2" s="12">
        <v>10.0</v>
      </c>
      <c r="H2" s="12">
        <v>11.0</v>
      </c>
      <c r="I2" s="12">
        <v>12.0</v>
      </c>
      <c r="J2" s="12">
        <v>13.0</v>
      </c>
      <c r="K2" s="12">
        <v>14.0</v>
      </c>
      <c r="L2" s="12">
        <v>15.0</v>
      </c>
      <c r="M2" s="12">
        <v>16.0</v>
      </c>
      <c r="N2" s="12">
        <v>17.0</v>
      </c>
      <c r="O2" s="12">
        <v>18.0</v>
      </c>
      <c r="P2" s="12">
        <v>19.0</v>
      </c>
      <c r="Q2" s="13" t="s">
        <v>20</v>
      </c>
      <c r="R2" s="14" t="s">
        <v>21</v>
      </c>
    </row>
    <row r="3" ht="14.25" customHeight="1">
      <c r="A3" s="15" t="s">
        <v>22</v>
      </c>
      <c r="B3" s="16" t="s">
        <v>23</v>
      </c>
      <c r="C3" s="17">
        <v>4.0</v>
      </c>
      <c r="D3" s="18">
        <v>1.0</v>
      </c>
      <c r="E3" s="18">
        <v>0.0</v>
      </c>
      <c r="F3" s="18">
        <v>1.0</v>
      </c>
      <c r="G3" s="18">
        <v>1.0</v>
      </c>
      <c r="H3" s="18">
        <v>8.0</v>
      </c>
      <c r="I3" s="18">
        <v>7.0</v>
      </c>
      <c r="J3" s="18">
        <v>4.0</v>
      </c>
      <c r="K3" s="18">
        <v>2.0</v>
      </c>
      <c r="L3" s="18">
        <v>0.0</v>
      </c>
      <c r="M3" s="18">
        <v>4.0</v>
      </c>
      <c r="N3" s="18">
        <v>5.0</v>
      </c>
      <c r="O3" s="18">
        <v>1.0</v>
      </c>
      <c r="P3" s="19">
        <v>1.0</v>
      </c>
      <c r="Q3" s="20">
        <f t="shared" ref="Q3:Q14" si="1">SUM(C3:P3)</f>
        <v>39</v>
      </c>
      <c r="R3" s="21">
        <f t="shared" ref="R3:R14" si="2">Q3/$Q$15</f>
        <v>0.02813852814</v>
      </c>
    </row>
    <row r="4" ht="14.25" customHeight="1">
      <c r="A4" s="15" t="s">
        <v>22</v>
      </c>
      <c r="B4" s="22" t="s">
        <v>24</v>
      </c>
      <c r="C4" s="23">
        <v>39.0</v>
      </c>
      <c r="D4" s="24">
        <v>55.0</v>
      </c>
      <c r="E4" s="24">
        <v>16.0</v>
      </c>
      <c r="F4" s="24">
        <v>13.0</v>
      </c>
      <c r="G4" s="24">
        <v>12.0</v>
      </c>
      <c r="H4" s="24">
        <v>5.0</v>
      </c>
      <c r="I4" s="24">
        <v>6.0</v>
      </c>
      <c r="J4" s="24">
        <v>6.0</v>
      </c>
      <c r="K4" s="24">
        <v>7.0</v>
      </c>
      <c r="L4" s="24">
        <v>7.0</v>
      </c>
      <c r="M4" s="24">
        <v>14.0</v>
      </c>
      <c r="N4" s="24">
        <v>33.0</v>
      </c>
      <c r="O4" s="24">
        <v>27.0</v>
      </c>
      <c r="P4" s="25">
        <v>13.0</v>
      </c>
      <c r="Q4" s="20">
        <f t="shared" si="1"/>
        <v>253</v>
      </c>
      <c r="R4" s="21">
        <f t="shared" si="2"/>
        <v>0.1825396825</v>
      </c>
    </row>
    <row r="5" ht="14.25" customHeight="1">
      <c r="A5" s="15" t="s">
        <v>22</v>
      </c>
      <c r="B5" s="15" t="s">
        <v>25</v>
      </c>
      <c r="C5" s="26">
        <v>1.0</v>
      </c>
      <c r="D5" s="27">
        <v>4.0</v>
      </c>
      <c r="E5" s="27">
        <v>3.0</v>
      </c>
      <c r="F5" s="27">
        <v>4.0</v>
      </c>
      <c r="G5" s="27">
        <v>6.0</v>
      </c>
      <c r="H5" s="27">
        <v>1.0</v>
      </c>
      <c r="I5" s="27">
        <v>6.0</v>
      </c>
      <c r="J5" s="27">
        <v>3.0</v>
      </c>
      <c r="K5" s="27">
        <v>2.0</v>
      </c>
      <c r="L5" s="27">
        <v>1.0</v>
      </c>
      <c r="M5" s="27">
        <v>4.0</v>
      </c>
      <c r="N5" s="27">
        <v>7.0</v>
      </c>
      <c r="O5" s="27">
        <v>2.0</v>
      </c>
      <c r="P5" s="25">
        <v>0.0</v>
      </c>
      <c r="Q5" s="20">
        <f t="shared" si="1"/>
        <v>44</v>
      </c>
      <c r="R5" s="21">
        <f t="shared" si="2"/>
        <v>0.03174603175</v>
      </c>
    </row>
    <row r="6" ht="14.25" customHeight="1">
      <c r="A6" s="15" t="s">
        <v>25</v>
      </c>
      <c r="B6" s="22" t="s">
        <v>22</v>
      </c>
      <c r="C6" s="23">
        <v>4.0</v>
      </c>
      <c r="D6" s="24">
        <v>6.0</v>
      </c>
      <c r="E6" s="24">
        <v>3.0</v>
      </c>
      <c r="F6" s="24">
        <v>3.0</v>
      </c>
      <c r="G6" s="24">
        <v>2.0</v>
      </c>
      <c r="H6" s="24">
        <v>4.0</v>
      </c>
      <c r="I6" s="24">
        <v>3.0</v>
      </c>
      <c r="J6" s="24">
        <v>1.0</v>
      </c>
      <c r="K6" s="24">
        <v>4.0</v>
      </c>
      <c r="L6" s="24">
        <v>1.0</v>
      </c>
      <c r="M6" s="24">
        <v>2.0</v>
      </c>
      <c r="N6" s="24">
        <v>4.0</v>
      </c>
      <c r="O6" s="24">
        <v>2.0</v>
      </c>
      <c r="P6" s="25">
        <v>5.0</v>
      </c>
      <c r="Q6" s="20">
        <f t="shared" si="1"/>
        <v>44</v>
      </c>
      <c r="R6" s="21">
        <f t="shared" si="2"/>
        <v>0.03174603175</v>
      </c>
    </row>
    <row r="7" ht="14.25" customHeight="1">
      <c r="A7" s="15" t="s">
        <v>25</v>
      </c>
      <c r="B7" s="22" t="s">
        <v>23</v>
      </c>
      <c r="C7" s="26">
        <v>9.0</v>
      </c>
      <c r="D7" s="27">
        <v>23.0</v>
      </c>
      <c r="E7" s="27">
        <v>9.0</v>
      </c>
      <c r="F7" s="27">
        <v>7.0</v>
      </c>
      <c r="G7" s="27">
        <v>4.0</v>
      </c>
      <c r="H7" s="27">
        <v>18.0</v>
      </c>
      <c r="I7" s="27">
        <v>10.0</v>
      </c>
      <c r="J7" s="27">
        <v>8.0</v>
      </c>
      <c r="K7" s="27">
        <v>9.0</v>
      </c>
      <c r="L7" s="27">
        <v>7.0</v>
      </c>
      <c r="M7" s="27">
        <v>3.0</v>
      </c>
      <c r="N7" s="27">
        <v>12.0</v>
      </c>
      <c r="O7" s="27">
        <v>4.0</v>
      </c>
      <c r="P7" s="25">
        <v>7.0</v>
      </c>
      <c r="Q7" s="20">
        <f t="shared" si="1"/>
        <v>130</v>
      </c>
      <c r="R7" s="21">
        <f t="shared" si="2"/>
        <v>0.0937950938</v>
      </c>
    </row>
    <row r="8" ht="14.25" customHeight="1">
      <c r="A8" s="15" t="s">
        <v>25</v>
      </c>
      <c r="B8" s="22" t="s">
        <v>24</v>
      </c>
      <c r="C8" s="23">
        <v>0.0</v>
      </c>
      <c r="D8" s="24">
        <v>4.0</v>
      </c>
      <c r="E8" s="24">
        <v>0.0</v>
      </c>
      <c r="F8" s="24">
        <v>1.0</v>
      </c>
      <c r="G8" s="24">
        <v>0.0</v>
      </c>
      <c r="H8" s="24">
        <v>0.0</v>
      </c>
      <c r="I8" s="24">
        <v>1.0</v>
      </c>
      <c r="J8" s="24">
        <v>0.0</v>
      </c>
      <c r="K8" s="24">
        <v>0.0</v>
      </c>
      <c r="L8" s="24">
        <v>0.0</v>
      </c>
      <c r="M8" s="24">
        <v>2.0</v>
      </c>
      <c r="N8" s="24">
        <v>2.0</v>
      </c>
      <c r="O8" s="24">
        <v>1.0</v>
      </c>
      <c r="P8" s="25">
        <v>0.0</v>
      </c>
      <c r="Q8" s="20">
        <f t="shared" si="1"/>
        <v>11</v>
      </c>
      <c r="R8" s="21">
        <f t="shared" si="2"/>
        <v>0.007936507937</v>
      </c>
    </row>
    <row r="9" ht="14.25" customHeight="1">
      <c r="A9" s="15" t="s">
        <v>24</v>
      </c>
      <c r="B9" s="15" t="s">
        <v>25</v>
      </c>
      <c r="C9" s="26">
        <v>0.0</v>
      </c>
      <c r="D9" s="27">
        <v>2.0</v>
      </c>
      <c r="E9" s="27">
        <v>0.0</v>
      </c>
      <c r="F9" s="27">
        <v>4.0</v>
      </c>
      <c r="G9" s="27">
        <v>1.0</v>
      </c>
      <c r="H9" s="27">
        <v>0.0</v>
      </c>
      <c r="I9" s="27">
        <v>2.0</v>
      </c>
      <c r="J9" s="27">
        <v>1.0</v>
      </c>
      <c r="K9" s="27">
        <v>2.0</v>
      </c>
      <c r="L9" s="27">
        <v>1.0</v>
      </c>
      <c r="M9" s="27">
        <v>0.0</v>
      </c>
      <c r="N9" s="27">
        <v>2.0</v>
      </c>
      <c r="O9" s="27">
        <v>2.0</v>
      </c>
      <c r="P9" s="25">
        <v>2.0</v>
      </c>
      <c r="Q9" s="20">
        <f t="shared" si="1"/>
        <v>19</v>
      </c>
      <c r="R9" s="21">
        <f t="shared" si="2"/>
        <v>0.01370851371</v>
      </c>
    </row>
    <row r="10" ht="14.25" customHeight="1">
      <c r="A10" s="15" t="s">
        <v>24</v>
      </c>
      <c r="B10" s="22" t="s">
        <v>22</v>
      </c>
      <c r="C10" s="23">
        <v>46.0</v>
      </c>
      <c r="D10" s="24">
        <v>46.0</v>
      </c>
      <c r="E10" s="24">
        <v>26.0</v>
      </c>
      <c r="F10" s="24">
        <v>23.0</v>
      </c>
      <c r="G10" s="24">
        <v>9.0</v>
      </c>
      <c r="H10" s="24">
        <v>13.0</v>
      </c>
      <c r="I10" s="24">
        <v>21.0</v>
      </c>
      <c r="J10" s="24">
        <v>6.0</v>
      </c>
      <c r="K10" s="24">
        <v>18.0</v>
      </c>
      <c r="L10" s="24">
        <v>21.0</v>
      </c>
      <c r="M10" s="24">
        <v>42.0</v>
      </c>
      <c r="N10" s="24">
        <v>86.0</v>
      </c>
      <c r="O10" s="24">
        <v>54.0</v>
      </c>
      <c r="P10" s="25">
        <v>19.0</v>
      </c>
      <c r="Q10" s="20">
        <f t="shared" si="1"/>
        <v>430</v>
      </c>
      <c r="R10" s="21">
        <f t="shared" si="2"/>
        <v>0.3102453102</v>
      </c>
    </row>
    <row r="11" ht="14.25" customHeight="1">
      <c r="A11" s="15" t="s">
        <v>24</v>
      </c>
      <c r="B11" s="22" t="s">
        <v>23</v>
      </c>
      <c r="C11" s="26">
        <v>5.0</v>
      </c>
      <c r="D11" s="27">
        <v>6.0</v>
      </c>
      <c r="E11" s="27">
        <v>4.0</v>
      </c>
      <c r="F11" s="27">
        <v>10.0</v>
      </c>
      <c r="G11" s="27">
        <v>4.0</v>
      </c>
      <c r="H11" s="27">
        <v>5.0</v>
      </c>
      <c r="I11" s="27">
        <v>5.0</v>
      </c>
      <c r="J11" s="27">
        <v>3.0</v>
      </c>
      <c r="K11" s="27">
        <v>7.0</v>
      </c>
      <c r="L11" s="27">
        <v>6.0</v>
      </c>
      <c r="M11" s="27">
        <v>7.0</v>
      </c>
      <c r="N11" s="27">
        <v>13.0</v>
      </c>
      <c r="O11" s="27">
        <v>10.0</v>
      </c>
      <c r="P11" s="25">
        <v>4.0</v>
      </c>
      <c r="Q11" s="20">
        <f t="shared" si="1"/>
        <v>89</v>
      </c>
      <c r="R11" s="21">
        <f t="shared" si="2"/>
        <v>0.06421356421</v>
      </c>
    </row>
    <row r="12" ht="14.25" customHeight="1">
      <c r="A12" s="15" t="s">
        <v>23</v>
      </c>
      <c r="B12" s="22" t="s">
        <v>24</v>
      </c>
      <c r="C12" s="23">
        <v>12.0</v>
      </c>
      <c r="D12" s="24">
        <v>7.0</v>
      </c>
      <c r="E12" s="24">
        <v>11.0</v>
      </c>
      <c r="F12" s="24">
        <v>9.0</v>
      </c>
      <c r="G12" s="24">
        <v>5.0</v>
      </c>
      <c r="H12" s="24">
        <v>10.0</v>
      </c>
      <c r="I12" s="24">
        <v>9.0</v>
      </c>
      <c r="J12" s="24">
        <v>10.0</v>
      </c>
      <c r="K12" s="24">
        <v>8.0</v>
      </c>
      <c r="L12" s="24">
        <v>9.0</v>
      </c>
      <c r="M12" s="24">
        <v>9.0</v>
      </c>
      <c r="N12" s="24">
        <v>15.0</v>
      </c>
      <c r="O12" s="24">
        <v>20.0</v>
      </c>
      <c r="P12" s="25">
        <v>7.0</v>
      </c>
      <c r="Q12" s="20">
        <f t="shared" si="1"/>
        <v>141</v>
      </c>
      <c r="R12" s="21">
        <f t="shared" si="2"/>
        <v>0.1017316017</v>
      </c>
    </row>
    <row r="13" ht="14.25" customHeight="1">
      <c r="A13" s="15" t="s">
        <v>23</v>
      </c>
      <c r="B13" s="15" t="s">
        <v>25</v>
      </c>
      <c r="C13" s="26">
        <v>5.0</v>
      </c>
      <c r="D13" s="27">
        <v>19.0</v>
      </c>
      <c r="E13" s="27">
        <v>13.0</v>
      </c>
      <c r="F13" s="27">
        <v>6.0</v>
      </c>
      <c r="G13" s="27">
        <v>3.0</v>
      </c>
      <c r="H13" s="27">
        <v>16.0</v>
      </c>
      <c r="I13" s="27">
        <v>16.0</v>
      </c>
      <c r="J13" s="27">
        <v>7.0</v>
      </c>
      <c r="K13" s="27">
        <v>5.0</v>
      </c>
      <c r="L13" s="27">
        <v>9.0</v>
      </c>
      <c r="M13" s="27">
        <v>11.0</v>
      </c>
      <c r="N13" s="27">
        <v>17.0</v>
      </c>
      <c r="O13" s="27">
        <v>11.0</v>
      </c>
      <c r="P13" s="25">
        <v>8.0</v>
      </c>
      <c r="Q13" s="20">
        <f t="shared" si="1"/>
        <v>146</v>
      </c>
      <c r="R13" s="21">
        <f t="shared" si="2"/>
        <v>0.1053391053</v>
      </c>
    </row>
    <row r="14" ht="14.25" customHeight="1">
      <c r="A14" s="15" t="s">
        <v>23</v>
      </c>
      <c r="B14" s="28" t="s">
        <v>22</v>
      </c>
      <c r="C14" s="29">
        <v>4.0</v>
      </c>
      <c r="D14" s="30">
        <v>5.0</v>
      </c>
      <c r="E14" s="30">
        <v>2.0</v>
      </c>
      <c r="F14" s="30">
        <v>2.0</v>
      </c>
      <c r="G14" s="30">
        <v>2.0</v>
      </c>
      <c r="H14" s="30">
        <v>4.0</v>
      </c>
      <c r="I14" s="30">
        <v>4.0</v>
      </c>
      <c r="J14" s="30">
        <v>4.0</v>
      </c>
      <c r="K14" s="30">
        <v>3.0</v>
      </c>
      <c r="L14" s="30">
        <v>2.0</v>
      </c>
      <c r="M14" s="30">
        <v>2.0</v>
      </c>
      <c r="N14" s="30">
        <v>3.0</v>
      </c>
      <c r="O14" s="30">
        <v>1.0</v>
      </c>
      <c r="P14" s="31">
        <v>2.0</v>
      </c>
      <c r="Q14" s="20">
        <f t="shared" si="1"/>
        <v>40</v>
      </c>
      <c r="R14" s="21">
        <f t="shared" si="2"/>
        <v>0.02886002886</v>
      </c>
    </row>
    <row r="15" ht="14.25" customHeight="1">
      <c r="A15" s="32"/>
      <c r="B15" s="32" t="s">
        <v>20</v>
      </c>
      <c r="C15" s="20">
        <f t="shared" ref="C15:Q15" si="3">SUM(C$3:C$14)</f>
        <v>129</v>
      </c>
      <c r="D15" s="20">
        <f t="shared" si="3"/>
        <v>178</v>
      </c>
      <c r="E15" s="20">
        <f t="shared" si="3"/>
        <v>87</v>
      </c>
      <c r="F15" s="20">
        <f t="shared" si="3"/>
        <v>83</v>
      </c>
      <c r="G15" s="20">
        <f t="shared" si="3"/>
        <v>49</v>
      </c>
      <c r="H15" s="20">
        <f t="shared" si="3"/>
        <v>84</v>
      </c>
      <c r="I15" s="20">
        <f t="shared" si="3"/>
        <v>90</v>
      </c>
      <c r="J15" s="20">
        <f t="shared" si="3"/>
        <v>53</v>
      </c>
      <c r="K15" s="20">
        <f t="shared" si="3"/>
        <v>67</v>
      </c>
      <c r="L15" s="20">
        <f t="shared" si="3"/>
        <v>64</v>
      </c>
      <c r="M15" s="20">
        <f t="shared" si="3"/>
        <v>100</v>
      </c>
      <c r="N15" s="20">
        <f t="shared" si="3"/>
        <v>199</v>
      </c>
      <c r="O15" s="20">
        <f t="shared" si="3"/>
        <v>135</v>
      </c>
      <c r="P15" s="20">
        <f t="shared" si="3"/>
        <v>68</v>
      </c>
      <c r="Q15" s="20">
        <f t="shared" si="3"/>
        <v>1386</v>
      </c>
      <c r="R15" s="21"/>
    </row>
    <row r="16" ht="13.5" customHeight="1">
      <c r="A16" s="33"/>
      <c r="B16" s="33" t="s">
        <v>26</v>
      </c>
      <c r="C16" s="34">
        <f t="shared" ref="C16:P16" si="4">C15/$Q$15</f>
        <v>0.09307359307</v>
      </c>
      <c r="D16" s="34">
        <f t="shared" si="4"/>
        <v>0.1284271284</v>
      </c>
      <c r="E16" s="34">
        <f t="shared" si="4"/>
        <v>0.06277056277</v>
      </c>
      <c r="F16" s="34">
        <f t="shared" si="4"/>
        <v>0.05988455988</v>
      </c>
      <c r="G16" s="34">
        <f t="shared" si="4"/>
        <v>0.03535353535</v>
      </c>
      <c r="H16" s="34">
        <f t="shared" si="4"/>
        <v>0.06060606061</v>
      </c>
      <c r="I16" s="34">
        <f t="shared" si="4"/>
        <v>0.06493506494</v>
      </c>
      <c r="J16" s="34">
        <f t="shared" si="4"/>
        <v>0.03823953824</v>
      </c>
      <c r="K16" s="34">
        <f t="shared" si="4"/>
        <v>0.04834054834</v>
      </c>
      <c r="L16" s="34">
        <f t="shared" si="4"/>
        <v>0.04617604618</v>
      </c>
      <c r="M16" s="34">
        <f t="shared" si="4"/>
        <v>0.07215007215</v>
      </c>
      <c r="N16" s="34">
        <f t="shared" si="4"/>
        <v>0.1435786436</v>
      </c>
      <c r="O16" s="34">
        <f t="shared" si="4"/>
        <v>0.0974025974</v>
      </c>
      <c r="P16" s="34">
        <f t="shared" si="4"/>
        <v>0.04906204906</v>
      </c>
      <c r="Q16" s="34">
        <f>SUM(C16:P16)</f>
        <v>1</v>
      </c>
      <c r="R16" s="21"/>
    </row>
    <row r="17" ht="13.5" customHeight="1">
      <c r="A17" s="35"/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7"/>
    </row>
    <row r="18" ht="12.0" customHeight="1">
      <c r="A18" s="10" t="s">
        <v>27</v>
      </c>
    </row>
    <row r="19" ht="12.0" customHeight="1">
      <c r="A19" s="38"/>
      <c r="B19" s="11" t="s">
        <v>28</v>
      </c>
      <c r="C19" s="12">
        <v>6.0</v>
      </c>
      <c r="D19" s="12">
        <v>7.0</v>
      </c>
      <c r="E19" s="12">
        <v>8.0</v>
      </c>
      <c r="F19" s="12">
        <v>9.0</v>
      </c>
      <c r="G19" s="12">
        <v>10.0</v>
      </c>
      <c r="H19" s="12">
        <v>11.0</v>
      </c>
      <c r="I19" s="12">
        <v>12.0</v>
      </c>
      <c r="J19" s="12">
        <v>13.0</v>
      </c>
      <c r="K19" s="12">
        <v>14.0</v>
      </c>
      <c r="L19" s="12">
        <v>15.0</v>
      </c>
      <c r="M19" s="12">
        <v>16.0</v>
      </c>
      <c r="N19" s="12">
        <v>17.0</v>
      </c>
      <c r="O19" s="12">
        <v>18.0</v>
      </c>
      <c r="P19" s="12">
        <v>19.0</v>
      </c>
      <c r="Q19" s="13" t="s">
        <v>20</v>
      </c>
      <c r="R19" s="14" t="s">
        <v>21</v>
      </c>
    </row>
    <row r="20" ht="14.25" customHeight="1">
      <c r="A20" s="39"/>
      <c r="B20" s="40" t="s">
        <v>9</v>
      </c>
      <c r="C20" s="27">
        <v>9.0</v>
      </c>
      <c r="D20" s="27">
        <v>12.0</v>
      </c>
      <c r="E20" s="27">
        <v>3.0</v>
      </c>
      <c r="F20" s="27">
        <v>4.0</v>
      </c>
      <c r="G20" s="27">
        <v>3.0</v>
      </c>
      <c r="H20" s="27">
        <v>13.0</v>
      </c>
      <c r="I20" s="27">
        <v>3.0</v>
      </c>
      <c r="J20" s="27">
        <v>2.0</v>
      </c>
      <c r="K20" s="27">
        <v>6.0</v>
      </c>
      <c r="L20" s="27">
        <v>5.0</v>
      </c>
      <c r="M20" s="27">
        <v>8.0</v>
      </c>
      <c r="N20" s="27">
        <v>13.0</v>
      </c>
      <c r="O20" s="27">
        <v>5.0</v>
      </c>
      <c r="P20" s="27">
        <v>1.0</v>
      </c>
      <c r="Q20" s="13">
        <f t="shared" ref="Q20:Q27" si="5">SUM(C20:P20)</f>
        <v>87</v>
      </c>
      <c r="R20" s="14">
        <f t="shared" ref="R20:R27" si="6">Q20/$Q$15</f>
        <v>0.06277056277</v>
      </c>
    </row>
    <row r="21" ht="14.25" customHeight="1">
      <c r="A21" s="39"/>
      <c r="B21" s="40" t="s">
        <v>10</v>
      </c>
      <c r="C21" s="41">
        <v>0.0</v>
      </c>
      <c r="D21" s="41">
        <v>0.0</v>
      </c>
      <c r="E21" s="41">
        <v>0.0</v>
      </c>
      <c r="F21" s="41">
        <v>0.0</v>
      </c>
      <c r="G21" s="41">
        <v>0.0</v>
      </c>
      <c r="H21" s="41">
        <v>0.0</v>
      </c>
      <c r="I21" s="41">
        <v>0.0</v>
      </c>
      <c r="J21" s="41">
        <v>0.0</v>
      </c>
      <c r="K21" s="41">
        <v>0.0</v>
      </c>
      <c r="L21" s="41">
        <v>0.0</v>
      </c>
      <c r="M21" s="41">
        <v>0.0</v>
      </c>
      <c r="N21" s="41">
        <v>0.0</v>
      </c>
      <c r="O21" s="41">
        <v>0.0</v>
      </c>
      <c r="P21" s="41">
        <v>0.0</v>
      </c>
      <c r="Q21" s="13">
        <f t="shared" si="5"/>
        <v>0</v>
      </c>
      <c r="R21" s="14">
        <f t="shared" si="6"/>
        <v>0</v>
      </c>
    </row>
    <row r="22" ht="14.25" customHeight="1">
      <c r="A22" s="39"/>
      <c r="B22" s="40" t="s">
        <v>11</v>
      </c>
      <c r="C22" s="27">
        <v>7.0</v>
      </c>
      <c r="D22" s="27">
        <v>7.0</v>
      </c>
      <c r="E22" s="27">
        <v>4.0</v>
      </c>
      <c r="F22" s="27">
        <v>2.0</v>
      </c>
      <c r="G22" s="27">
        <v>0.0</v>
      </c>
      <c r="H22" s="27">
        <v>0.0</v>
      </c>
      <c r="I22" s="27">
        <v>1.0</v>
      </c>
      <c r="J22" s="27">
        <v>0.0</v>
      </c>
      <c r="K22" s="27">
        <v>0.0</v>
      </c>
      <c r="L22" s="27">
        <v>2.0</v>
      </c>
      <c r="M22" s="27">
        <v>3.0</v>
      </c>
      <c r="N22" s="27">
        <v>4.0</v>
      </c>
      <c r="O22" s="27">
        <v>5.0</v>
      </c>
      <c r="P22" s="27">
        <v>5.0</v>
      </c>
      <c r="Q22" s="13">
        <f t="shared" si="5"/>
        <v>40</v>
      </c>
      <c r="R22" s="14">
        <f t="shared" si="6"/>
        <v>0.02886002886</v>
      </c>
    </row>
    <row r="23" ht="14.25" customHeight="1">
      <c r="A23" s="39"/>
      <c r="B23" s="40" t="s">
        <v>29</v>
      </c>
      <c r="C23" s="27">
        <v>3.0</v>
      </c>
      <c r="D23" s="27">
        <v>10.0</v>
      </c>
      <c r="E23" s="27">
        <v>3.0</v>
      </c>
      <c r="F23" s="27">
        <v>5.0</v>
      </c>
      <c r="G23" s="27">
        <v>0.0</v>
      </c>
      <c r="H23" s="27">
        <v>8.0</v>
      </c>
      <c r="I23" s="27">
        <v>3.0</v>
      </c>
      <c r="J23" s="27">
        <v>7.0</v>
      </c>
      <c r="K23" s="27">
        <v>6.0</v>
      </c>
      <c r="L23" s="27">
        <v>4.0</v>
      </c>
      <c r="M23" s="27">
        <v>7.0</v>
      </c>
      <c r="N23" s="27">
        <v>8.0</v>
      </c>
      <c r="O23" s="27">
        <v>6.0</v>
      </c>
      <c r="P23" s="41">
        <v>6.0</v>
      </c>
      <c r="Q23" s="13">
        <f t="shared" si="5"/>
        <v>76</v>
      </c>
      <c r="R23" s="14">
        <f t="shared" si="6"/>
        <v>0.05483405483</v>
      </c>
    </row>
    <row r="24" ht="14.25" customHeight="1">
      <c r="A24" s="39"/>
      <c r="B24" s="40" t="s">
        <v>30</v>
      </c>
      <c r="C24" s="27">
        <v>24.0</v>
      </c>
      <c r="D24" s="27">
        <v>25.0</v>
      </c>
      <c r="E24" s="27">
        <v>23.0</v>
      </c>
      <c r="F24" s="27">
        <v>15.0</v>
      </c>
      <c r="G24" s="27">
        <v>9.0</v>
      </c>
      <c r="H24" s="27">
        <v>14.0</v>
      </c>
      <c r="I24" s="27">
        <v>14.0</v>
      </c>
      <c r="J24" s="27">
        <v>8.0</v>
      </c>
      <c r="K24" s="27">
        <v>10.0</v>
      </c>
      <c r="L24" s="27">
        <v>15.0</v>
      </c>
      <c r="M24" s="27">
        <v>20.0</v>
      </c>
      <c r="N24" s="27">
        <v>29.0</v>
      </c>
      <c r="O24" s="27">
        <v>16.0</v>
      </c>
      <c r="P24" s="41">
        <v>11.0</v>
      </c>
      <c r="Q24" s="13">
        <f t="shared" si="5"/>
        <v>233</v>
      </c>
      <c r="R24" s="14">
        <f t="shared" si="6"/>
        <v>0.1681096681</v>
      </c>
    </row>
    <row r="25" ht="14.25" customHeight="1">
      <c r="A25" s="39"/>
      <c r="B25" s="40" t="s">
        <v>14</v>
      </c>
      <c r="C25" s="27">
        <v>0.0</v>
      </c>
      <c r="D25" s="27">
        <v>5.0</v>
      </c>
      <c r="E25" s="27">
        <v>2.0</v>
      </c>
      <c r="F25" s="27">
        <v>3.0</v>
      </c>
      <c r="G25" s="27">
        <v>1.0</v>
      </c>
      <c r="H25" s="27">
        <v>3.0</v>
      </c>
      <c r="I25" s="27">
        <v>6.0</v>
      </c>
      <c r="J25" s="27">
        <v>4.0</v>
      </c>
      <c r="K25" s="27">
        <v>8.0</v>
      </c>
      <c r="L25" s="27">
        <v>10.0</v>
      </c>
      <c r="M25" s="27">
        <v>3.0</v>
      </c>
      <c r="N25" s="27">
        <v>1.0</v>
      </c>
      <c r="O25" s="27">
        <v>0.0</v>
      </c>
      <c r="P25" s="41">
        <v>6.0</v>
      </c>
      <c r="Q25" s="13">
        <f t="shared" si="5"/>
        <v>52</v>
      </c>
      <c r="R25" s="14">
        <f t="shared" si="6"/>
        <v>0.03751803752</v>
      </c>
    </row>
    <row r="26" ht="14.25" customHeight="1">
      <c r="A26" s="39"/>
      <c r="B26" s="40" t="s">
        <v>31</v>
      </c>
      <c r="C26" s="27">
        <v>25.0</v>
      </c>
      <c r="D26" s="27">
        <v>14.0</v>
      </c>
      <c r="E26" s="27">
        <v>11.0</v>
      </c>
      <c r="F26" s="27">
        <v>18.0</v>
      </c>
      <c r="G26" s="27">
        <v>8.0</v>
      </c>
      <c r="H26" s="27">
        <v>2.0</v>
      </c>
      <c r="I26" s="27">
        <v>4.0</v>
      </c>
      <c r="J26" s="27">
        <v>6.0</v>
      </c>
      <c r="K26" s="27">
        <v>9.0</v>
      </c>
      <c r="L26" s="27">
        <v>10.0</v>
      </c>
      <c r="M26" s="27">
        <v>9.0</v>
      </c>
      <c r="N26" s="27">
        <v>50.0</v>
      </c>
      <c r="O26" s="27">
        <v>27.0</v>
      </c>
      <c r="P26" s="41">
        <v>24.0</v>
      </c>
      <c r="Q26" s="13">
        <f t="shared" si="5"/>
        <v>217</v>
      </c>
      <c r="R26" s="14">
        <f t="shared" si="6"/>
        <v>0.1565656566</v>
      </c>
    </row>
    <row r="27" ht="14.25" customHeight="1">
      <c r="A27" s="39"/>
      <c r="B27" s="40" t="s">
        <v>16</v>
      </c>
      <c r="C27" s="41">
        <v>0.0</v>
      </c>
      <c r="D27" s="41">
        <v>0.0</v>
      </c>
      <c r="E27" s="41">
        <v>0.0</v>
      </c>
      <c r="F27" s="41">
        <v>0.0</v>
      </c>
      <c r="G27" s="41">
        <v>0.0</v>
      </c>
      <c r="H27" s="41">
        <v>0.0</v>
      </c>
      <c r="I27" s="41">
        <v>0.0</v>
      </c>
      <c r="J27" s="41">
        <v>0.0</v>
      </c>
      <c r="K27" s="41">
        <v>0.0</v>
      </c>
      <c r="L27" s="41">
        <v>0.0</v>
      </c>
      <c r="M27" s="41">
        <v>0.0</v>
      </c>
      <c r="N27" s="41">
        <v>0.0</v>
      </c>
      <c r="O27" s="41">
        <v>0.0</v>
      </c>
      <c r="P27" s="41">
        <v>0.0</v>
      </c>
      <c r="Q27" s="13">
        <f t="shared" si="5"/>
        <v>0</v>
      </c>
      <c r="R27" s="14">
        <f t="shared" si="6"/>
        <v>0</v>
      </c>
    </row>
    <row r="28" ht="14.25" customHeight="1">
      <c r="A28" s="42"/>
      <c r="B28" s="42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4"/>
    </row>
    <row r="29" ht="14.25" customHeight="1">
      <c r="A29" s="10" t="s">
        <v>32</v>
      </c>
    </row>
    <row r="30" ht="14.25" customHeight="1">
      <c r="A30" s="38"/>
      <c r="B30" s="11" t="s">
        <v>28</v>
      </c>
      <c r="C30" s="12">
        <v>6.0</v>
      </c>
      <c r="D30" s="12">
        <v>7.0</v>
      </c>
      <c r="E30" s="12">
        <v>8.0</v>
      </c>
      <c r="F30" s="12">
        <v>9.0</v>
      </c>
      <c r="G30" s="12">
        <v>10.0</v>
      </c>
      <c r="H30" s="12">
        <v>11.0</v>
      </c>
      <c r="I30" s="12">
        <v>12.0</v>
      </c>
      <c r="J30" s="12">
        <v>13.0</v>
      </c>
      <c r="K30" s="12">
        <v>14.0</v>
      </c>
      <c r="L30" s="12">
        <v>15.0</v>
      </c>
      <c r="M30" s="12">
        <v>16.0</v>
      </c>
      <c r="N30" s="12">
        <v>17.0</v>
      </c>
      <c r="O30" s="12">
        <v>18.0</v>
      </c>
      <c r="P30" s="12">
        <v>19.0</v>
      </c>
      <c r="Q30" s="13" t="s">
        <v>20</v>
      </c>
      <c r="R30" s="14" t="s">
        <v>21</v>
      </c>
    </row>
    <row r="31" ht="14.25" customHeight="1">
      <c r="A31" s="39"/>
      <c r="B31" s="15" t="s">
        <v>33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13">
        <f t="shared" ref="Q31:Q37" si="7">SUM(C31:P31)</f>
        <v>0</v>
      </c>
      <c r="R31" s="14">
        <f t="shared" ref="R31:R37" si="8">Q31/$Q$15</f>
        <v>0</v>
      </c>
    </row>
    <row r="32" ht="14.25" customHeight="1">
      <c r="A32" s="39"/>
      <c r="B32" s="40" t="s">
        <v>34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3">
        <f t="shared" si="7"/>
        <v>0</v>
      </c>
      <c r="R32" s="14">
        <f t="shared" si="8"/>
        <v>0</v>
      </c>
    </row>
    <row r="33" ht="14.25" customHeight="1">
      <c r="A33" s="39"/>
      <c r="B33" s="46" t="s">
        <v>35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13">
        <f t="shared" si="7"/>
        <v>0</v>
      </c>
      <c r="R33" s="14">
        <f t="shared" si="8"/>
        <v>0</v>
      </c>
    </row>
    <row r="34" ht="14.25" customHeight="1">
      <c r="A34" s="39"/>
      <c r="B34" s="46" t="s">
        <v>36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13">
        <f t="shared" si="7"/>
        <v>0</v>
      </c>
      <c r="R34" s="14">
        <f t="shared" si="8"/>
        <v>0</v>
      </c>
    </row>
    <row r="35" ht="14.25" customHeight="1">
      <c r="A35" s="39"/>
      <c r="B35" s="46" t="s">
        <v>37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13">
        <f t="shared" si="7"/>
        <v>0</v>
      </c>
      <c r="R35" s="14">
        <f t="shared" si="8"/>
        <v>0</v>
      </c>
    </row>
    <row r="36" ht="14.25" customHeight="1">
      <c r="A36" s="39"/>
      <c r="B36" s="46" t="s">
        <v>38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13">
        <f t="shared" si="7"/>
        <v>0</v>
      </c>
      <c r="R36" s="14">
        <f t="shared" si="8"/>
        <v>0</v>
      </c>
    </row>
    <row r="37" ht="14.25" customHeight="1">
      <c r="A37" s="39"/>
      <c r="B37" s="46" t="s">
        <v>39</v>
      </c>
      <c r="C37" s="47"/>
      <c r="D37" s="47">
        <v>62.0</v>
      </c>
      <c r="E37" s="47">
        <v>31.0</v>
      </c>
      <c r="F37" s="47">
        <v>31.0</v>
      </c>
      <c r="G37" s="47">
        <v>21.0</v>
      </c>
      <c r="H37" s="47">
        <v>22.0</v>
      </c>
      <c r="I37" s="47">
        <v>23.0</v>
      </c>
      <c r="J37" s="47">
        <v>22.0</v>
      </c>
      <c r="K37" s="47">
        <v>25.0</v>
      </c>
      <c r="L37" s="47">
        <v>22.0</v>
      </c>
      <c r="M37" s="47">
        <v>41.0</v>
      </c>
      <c r="N37" s="47">
        <v>98.0</v>
      </c>
      <c r="O37" s="47">
        <v>77.0</v>
      </c>
      <c r="P37" s="47">
        <v>35.0</v>
      </c>
      <c r="Q37" s="13">
        <f t="shared" si="7"/>
        <v>510</v>
      </c>
      <c r="R37" s="14">
        <f t="shared" si="8"/>
        <v>0.367965368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8" t="str">
        <f>Fluxo!A2</f>
        <v>TOTAL</v>
      </c>
      <c r="F1" s="48">
        <v>2.0</v>
      </c>
      <c r="G1" t="str">
        <f t="array" ref="G1:G18">TRANSPOSE(Dados!2:2)</f>
        <v>ORIGEM</v>
      </c>
    </row>
    <row r="2">
      <c r="F2" s="48">
        <v>3.0</v>
      </c>
      <c r="G2" t="s">
        <v>19</v>
      </c>
    </row>
    <row r="3">
      <c r="A3" t="str">
        <f>Dados!A3</f>
        <v>Centro</v>
      </c>
      <c r="B3" t="str">
        <f>Dados!B3</f>
        <v>Lagoa do Araçá</v>
      </c>
      <c r="F3" s="48">
        <v>4.0</v>
      </c>
      <c r="G3">
        <v>6.0</v>
      </c>
      <c r="Q3">
        <f>HLOOKUP($A$1,Dados!$C$2:$R$14,F1,0)</f>
        <v>39</v>
      </c>
    </row>
    <row r="4">
      <c r="A4" t="str">
        <f>Dados!A4</f>
        <v>Centro</v>
      </c>
      <c r="B4" t="str">
        <f>Dados!B4</f>
        <v>Jaboatão</v>
      </c>
      <c r="F4" s="48">
        <v>5.0</v>
      </c>
      <c r="G4">
        <v>7.0</v>
      </c>
      <c r="Q4">
        <f>HLOOKUP($A$1,Dados!$C$2:$R$14,F2,0)</f>
        <v>253</v>
      </c>
    </row>
    <row r="5">
      <c r="A5" t="str">
        <f>Dados!A5</f>
        <v>Centro</v>
      </c>
      <c r="B5" t="str">
        <f>Dados!B5</f>
        <v>Boa Viagem</v>
      </c>
      <c r="F5" s="48">
        <v>6.0</v>
      </c>
      <c r="G5">
        <v>8.0</v>
      </c>
      <c r="Q5">
        <f>HLOOKUP($A$1,Dados!$C$2:$R$14,F3,0)</f>
        <v>44</v>
      </c>
    </row>
    <row r="6">
      <c r="A6" t="str">
        <f>Dados!A6</f>
        <v>Boa Viagem</v>
      </c>
      <c r="B6" t="str">
        <f>Dados!B6</f>
        <v>Centro</v>
      </c>
      <c r="F6" s="48">
        <v>7.0</v>
      </c>
      <c r="G6">
        <v>9.0</v>
      </c>
      <c r="Q6">
        <f>HLOOKUP($A$1,Dados!$C$2:$R$14,F4,0)</f>
        <v>44</v>
      </c>
    </row>
    <row r="7">
      <c r="A7" t="str">
        <f>Dados!A7</f>
        <v>Boa Viagem</v>
      </c>
      <c r="B7" t="str">
        <f>Dados!B7</f>
        <v>Lagoa do Araçá</v>
      </c>
      <c r="F7" s="48">
        <v>8.0</v>
      </c>
      <c r="G7">
        <v>10.0</v>
      </c>
      <c r="Q7">
        <f>HLOOKUP($A$1,Dados!$C$2:$R$14,F5,0)</f>
        <v>130</v>
      </c>
    </row>
    <row r="8">
      <c r="A8" t="str">
        <f>Dados!A8</f>
        <v>Boa Viagem</v>
      </c>
      <c r="B8" t="str">
        <f>Dados!B8</f>
        <v>Jaboatão</v>
      </c>
      <c r="F8" s="48">
        <v>9.0</v>
      </c>
      <c r="G8">
        <v>11.0</v>
      </c>
      <c r="Q8">
        <f>HLOOKUP($A$1,Dados!$C$2:$R$14,F6,0)</f>
        <v>11</v>
      </c>
    </row>
    <row r="9">
      <c r="A9" t="str">
        <f>Dados!A9</f>
        <v>Jaboatão</v>
      </c>
      <c r="B9" t="str">
        <f>Dados!B9</f>
        <v>Boa Viagem</v>
      </c>
      <c r="F9" s="48">
        <v>10.0</v>
      </c>
      <c r="G9">
        <v>12.0</v>
      </c>
      <c r="Q9">
        <f>HLOOKUP($A$1,Dados!$C$2:$R$14,F7,0)</f>
        <v>19</v>
      </c>
    </row>
    <row r="10">
      <c r="A10" t="str">
        <f>Dados!A10</f>
        <v>Jaboatão</v>
      </c>
      <c r="B10" t="str">
        <f>Dados!B10</f>
        <v>Centro</v>
      </c>
      <c r="F10" s="48">
        <v>11.0</v>
      </c>
      <c r="G10">
        <v>13.0</v>
      </c>
      <c r="Q10">
        <f>HLOOKUP($A$1,Dados!$C$2:$R$14,F8,0)</f>
        <v>430</v>
      </c>
    </row>
    <row r="11">
      <c r="A11" t="str">
        <f>Dados!A11</f>
        <v>Jaboatão</v>
      </c>
      <c r="B11" t="str">
        <f>Dados!B11</f>
        <v>Lagoa do Araçá</v>
      </c>
      <c r="F11" s="48">
        <v>12.0</v>
      </c>
      <c r="G11">
        <v>14.0</v>
      </c>
      <c r="Q11">
        <f>HLOOKUP($A$1,Dados!$C$2:$R$14,F9,0)</f>
        <v>89</v>
      </c>
    </row>
    <row r="12">
      <c r="A12" t="str">
        <f>Dados!A12</f>
        <v>Lagoa do Araçá</v>
      </c>
      <c r="B12" t="str">
        <f>Dados!B12</f>
        <v>Jaboatão</v>
      </c>
      <c r="F12" s="48">
        <v>13.0</v>
      </c>
      <c r="G12">
        <v>15.0</v>
      </c>
      <c r="Q12">
        <f>HLOOKUP($A$1,Dados!$C$2:$R$14,F10,0)</f>
        <v>141</v>
      </c>
    </row>
    <row r="13">
      <c r="A13" t="str">
        <f>Dados!A13</f>
        <v>Lagoa do Araçá</v>
      </c>
      <c r="B13" t="str">
        <f>Dados!B13</f>
        <v>Boa Viagem</v>
      </c>
      <c r="G13">
        <v>16.0</v>
      </c>
      <c r="Q13">
        <f>HLOOKUP($A$1,Dados!$C$2:$R$14,F11,0)</f>
        <v>146</v>
      </c>
    </row>
    <row r="14">
      <c r="A14" t="str">
        <f>Dados!A14</f>
        <v>Lagoa do Araçá</v>
      </c>
      <c r="B14" t="str">
        <f>Dados!B14</f>
        <v>Centro</v>
      </c>
      <c r="G14">
        <v>17.0</v>
      </c>
      <c r="Q14">
        <f>HLOOKUP($A$1,Dados!$C$2:$R$14,F12,0)</f>
        <v>40</v>
      </c>
    </row>
    <row r="15">
      <c r="G15">
        <v>18.0</v>
      </c>
    </row>
    <row r="16">
      <c r="G16">
        <v>19.0</v>
      </c>
    </row>
    <row r="17">
      <c r="G17" t="s">
        <v>20</v>
      </c>
    </row>
    <row r="18">
      <c r="G18" s="49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50" t="s">
        <v>40</v>
      </c>
    </row>
    <row r="2">
      <c r="A2" s="51" t="s">
        <v>41</v>
      </c>
      <c r="B2" s="52">
        <f>Dados!C2</f>
        <v>6</v>
      </c>
      <c r="C2" s="52">
        <f>Dados!D2</f>
        <v>7</v>
      </c>
      <c r="D2" s="52">
        <f>Dados!E2</f>
        <v>8</v>
      </c>
      <c r="E2" s="52">
        <f>Dados!F2</f>
        <v>9</v>
      </c>
      <c r="F2" s="52">
        <f>Dados!G2</f>
        <v>10</v>
      </c>
      <c r="G2" s="52">
        <f>Dados!H2</f>
        <v>11</v>
      </c>
      <c r="H2" s="52">
        <f>Dados!I2</f>
        <v>12</v>
      </c>
      <c r="I2" s="52">
        <f>Dados!J2</f>
        <v>13</v>
      </c>
      <c r="J2" s="52">
        <f>Dados!K2</f>
        <v>14</v>
      </c>
      <c r="K2" s="52">
        <f>Dados!L2</f>
        <v>15</v>
      </c>
      <c r="L2" s="52">
        <f>Dados!M2</f>
        <v>16</v>
      </c>
      <c r="M2" s="52">
        <f>Dados!N2</f>
        <v>17</v>
      </c>
      <c r="N2" s="52">
        <f>Dados!O2</f>
        <v>18</v>
      </c>
      <c r="O2" s="52">
        <f>Dados!P2</f>
        <v>19</v>
      </c>
    </row>
    <row r="3">
      <c r="A3" s="53" t="s">
        <v>42</v>
      </c>
      <c r="B3" s="54">
        <f>Dados!C15-B4-B5</f>
        <v>120</v>
      </c>
      <c r="C3" s="54">
        <f>Dados!D15-C4-C5</f>
        <v>166</v>
      </c>
      <c r="D3" s="54">
        <f>Dados!E15-D4-D5</f>
        <v>84</v>
      </c>
      <c r="E3" s="54">
        <f>Dados!F15-E4-E5</f>
        <v>79</v>
      </c>
      <c r="F3" s="54">
        <f>Dados!G15-F4-F5</f>
        <v>46</v>
      </c>
      <c r="G3" s="54">
        <f>Dados!H15-G4-G5</f>
        <v>71</v>
      </c>
      <c r="H3" s="54">
        <f>Dados!I15-H4-H5</f>
        <v>87</v>
      </c>
      <c r="I3" s="54">
        <f>Dados!J15-I4-I5</f>
        <v>51</v>
      </c>
      <c r="J3" s="54">
        <f>Dados!K15-J4-J5</f>
        <v>61</v>
      </c>
      <c r="K3" s="54">
        <f>Dados!L15-K4-K5</f>
        <v>59</v>
      </c>
      <c r="L3" s="54">
        <f>Dados!M15-L4-L5</f>
        <v>92</v>
      </c>
      <c r="M3" s="54">
        <f>Dados!N15-M4-M5</f>
        <v>186</v>
      </c>
      <c r="N3" s="54">
        <f>Dados!O15-N4-N5</f>
        <v>130</v>
      </c>
      <c r="O3" s="54">
        <f>Dados!P15-O4-O5</f>
        <v>67</v>
      </c>
    </row>
    <row r="4">
      <c r="A4" s="51" t="s">
        <v>43</v>
      </c>
      <c r="B4" s="52">
        <f>Dados!C20</f>
        <v>9</v>
      </c>
      <c r="C4" s="52">
        <f>Dados!D20</f>
        <v>12</v>
      </c>
      <c r="D4" s="52">
        <f>Dados!E20</f>
        <v>3</v>
      </c>
      <c r="E4" s="52">
        <f>Dados!F20</f>
        <v>4</v>
      </c>
      <c r="F4" s="52">
        <f>Dados!G20</f>
        <v>3</v>
      </c>
      <c r="G4" s="52">
        <f>Dados!H20</f>
        <v>13</v>
      </c>
      <c r="H4" s="52">
        <f>Dados!I20</f>
        <v>3</v>
      </c>
      <c r="I4" s="52">
        <f>Dados!J20</f>
        <v>2</v>
      </c>
      <c r="J4" s="52">
        <f>Dados!K20</f>
        <v>6</v>
      </c>
      <c r="K4" s="52">
        <f>Dados!L20</f>
        <v>5</v>
      </c>
      <c r="L4" s="52">
        <f>Dados!M20</f>
        <v>8</v>
      </c>
      <c r="M4" s="52">
        <f>Dados!N20</f>
        <v>13</v>
      </c>
      <c r="N4" s="52">
        <f>Dados!O20</f>
        <v>5</v>
      </c>
      <c r="O4" s="52">
        <f>Dados!P20</f>
        <v>1</v>
      </c>
    </row>
    <row r="5">
      <c r="A5" s="53" t="s">
        <v>10</v>
      </c>
      <c r="B5" s="54">
        <f>Dados!C21</f>
        <v>0</v>
      </c>
      <c r="C5" s="54">
        <f>Dados!D21</f>
        <v>0</v>
      </c>
      <c r="D5" s="54">
        <f>Dados!E21</f>
        <v>0</v>
      </c>
      <c r="E5" s="54">
        <f>Dados!F21</f>
        <v>0</v>
      </c>
      <c r="F5" s="54">
        <f>Dados!G21</f>
        <v>0</v>
      </c>
      <c r="G5" s="54">
        <f>Dados!H21</f>
        <v>0</v>
      </c>
      <c r="H5" s="54">
        <f>Dados!I21</f>
        <v>0</v>
      </c>
      <c r="I5" s="54">
        <f>Dados!J21</f>
        <v>0</v>
      </c>
      <c r="J5" s="54">
        <f>Dados!K21</f>
        <v>0</v>
      </c>
      <c r="K5" s="54">
        <f>Dados!L21</f>
        <v>0</v>
      </c>
      <c r="L5" s="54">
        <f>Dados!M21</f>
        <v>0</v>
      </c>
      <c r="M5" s="54">
        <f>Dados!N21</f>
        <v>0</v>
      </c>
      <c r="N5" s="54">
        <f>Dados!O21</f>
        <v>0</v>
      </c>
      <c r="O5" s="54">
        <f>Dados!P21</f>
        <v>0</v>
      </c>
    </row>
    <row r="7">
      <c r="A7" s="55" t="s">
        <v>44</v>
      </c>
    </row>
    <row r="8">
      <c r="A8" s="56" t="s">
        <v>45</v>
      </c>
      <c r="B8" s="52">
        <v>6.0</v>
      </c>
      <c r="C8" s="52">
        <v>7.0</v>
      </c>
      <c r="D8" s="52">
        <v>8.0</v>
      </c>
      <c r="E8" s="52">
        <v>9.0</v>
      </c>
      <c r="F8" s="52">
        <v>10.0</v>
      </c>
      <c r="G8" s="52">
        <v>11.0</v>
      </c>
      <c r="H8" s="52">
        <v>12.0</v>
      </c>
      <c r="I8" s="52">
        <v>13.0</v>
      </c>
      <c r="J8" s="52">
        <v>14.0</v>
      </c>
      <c r="K8" s="52">
        <v>15.0</v>
      </c>
      <c r="L8" s="52">
        <v>16.0</v>
      </c>
      <c r="M8" s="52">
        <v>17.0</v>
      </c>
      <c r="N8" s="52">
        <v>18.0</v>
      </c>
      <c r="O8" s="52">
        <v>19.0</v>
      </c>
    </row>
    <row r="9">
      <c r="A9" s="57" t="s">
        <v>43</v>
      </c>
      <c r="B9" s="58">
        <f>B4/Dados!C$15</f>
        <v>0.06976744186</v>
      </c>
      <c r="C9" s="58">
        <f>C4/Dados!D$15</f>
        <v>0.06741573034</v>
      </c>
      <c r="D9" s="58">
        <f>D4/Dados!E$15</f>
        <v>0.03448275862</v>
      </c>
      <c r="E9" s="58">
        <f>E4/Dados!F$15</f>
        <v>0.04819277108</v>
      </c>
      <c r="F9" s="58">
        <f>F4/Dados!G$15</f>
        <v>0.0612244898</v>
      </c>
      <c r="G9" s="58">
        <f>G4/Dados!H$15</f>
        <v>0.1547619048</v>
      </c>
      <c r="H9" s="58">
        <f>H4/Dados!I$15</f>
        <v>0.03333333333</v>
      </c>
      <c r="I9" s="58">
        <f>I4/Dados!J$15</f>
        <v>0.03773584906</v>
      </c>
      <c r="J9" s="58">
        <f>J4/Dados!K$15</f>
        <v>0.08955223881</v>
      </c>
      <c r="K9" s="58">
        <f>K4/Dados!L$15</f>
        <v>0.078125</v>
      </c>
      <c r="L9" s="58">
        <f>L4/Dados!M$15</f>
        <v>0.08</v>
      </c>
      <c r="M9" s="58">
        <f>M4/Dados!N$15</f>
        <v>0.06532663317</v>
      </c>
      <c r="N9" s="58">
        <f>N4/Dados!O$15</f>
        <v>0.03703703704</v>
      </c>
      <c r="O9" s="58">
        <f>O4/Dados!P$15</f>
        <v>0.01470588235</v>
      </c>
    </row>
    <row r="10">
      <c r="A10" s="56" t="s">
        <v>10</v>
      </c>
      <c r="B10" s="59">
        <f>B5/Dados!C$15</f>
        <v>0</v>
      </c>
      <c r="C10" s="59">
        <f>C5/Dados!D$15</f>
        <v>0</v>
      </c>
      <c r="D10" s="59">
        <f>D5/Dados!E$15</f>
        <v>0</v>
      </c>
      <c r="E10" s="59">
        <f>E5/Dados!F$15</f>
        <v>0</v>
      </c>
      <c r="F10" s="59">
        <f>F5/Dados!G$15</f>
        <v>0</v>
      </c>
      <c r="G10" s="59">
        <f>G5/Dados!H$15</f>
        <v>0</v>
      </c>
      <c r="H10" s="59">
        <f>H5/Dados!I$15</f>
        <v>0</v>
      </c>
      <c r="I10" s="59">
        <f>I5/Dados!J$15</f>
        <v>0</v>
      </c>
      <c r="J10" s="59">
        <f>J5/Dados!K$15</f>
        <v>0</v>
      </c>
      <c r="K10" s="59">
        <f>K5/Dados!L$15</f>
        <v>0</v>
      </c>
      <c r="L10" s="59">
        <f>L5/Dados!M$15</f>
        <v>0</v>
      </c>
      <c r="M10" s="59">
        <f>M5/Dados!N$15</f>
        <v>0</v>
      </c>
      <c r="N10" s="59">
        <f>N5/Dados!O$15</f>
        <v>0</v>
      </c>
      <c r="O10" s="59">
        <f>O5/Dados!P$15</f>
        <v>0</v>
      </c>
    </row>
    <row r="12">
      <c r="A12" s="60" t="str">
        <f>Dados!B19</f>
        <v>Característica</v>
      </c>
      <c r="B12" s="61" t="str">
        <f>Dados!R19</f>
        <v>%</v>
      </c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</row>
    <row r="13">
      <c r="A13" s="60" t="str">
        <f>Dados!B20</f>
        <v>Mulher</v>
      </c>
      <c r="B13" s="61">
        <f>Dados!R20</f>
        <v>0.06277056277</v>
      </c>
    </row>
    <row r="14">
      <c r="A14" s="60" t="str">
        <f>Dados!B21</f>
        <v>Crianças e adolescentes</v>
      </c>
      <c r="B14" s="61">
        <f>Dados!R21</f>
        <v>0</v>
      </c>
    </row>
    <row r="15">
      <c r="A15" s="60" t="str">
        <f>Dados!B22</f>
        <v>Capacete</v>
      </c>
      <c r="B15" s="61">
        <f>Dados!R22</f>
        <v>0.02886002886</v>
      </c>
    </row>
    <row r="16">
      <c r="A16" s="60" t="s">
        <v>12</v>
      </c>
      <c r="B16" s="61">
        <f>SUM(Dados!R23)</f>
        <v>0.05483405483</v>
      </c>
    </row>
    <row r="17">
      <c r="A17" s="60" t="str">
        <f>Dados!B24</f>
        <v>Cargueira</v>
      </c>
      <c r="B17" s="61">
        <f>Dados!R24</f>
        <v>0.1681096681</v>
      </c>
    </row>
    <row r="18">
      <c r="A18" s="60" t="str">
        <f>Dados!B25</f>
        <v>Serviço</v>
      </c>
      <c r="B18" s="61">
        <f>Dados!R25</f>
        <v>0.03751803752</v>
      </c>
    </row>
    <row r="19">
      <c r="A19" s="60" t="str">
        <f>Dados!B26</f>
        <v>Contramao</v>
      </c>
      <c r="B19" s="61">
        <f>Dados!R26</f>
        <v>0.1565656566</v>
      </c>
    </row>
    <row r="20">
      <c r="A20" s="60" t="str">
        <f>Dados!B27</f>
        <v>Calçada</v>
      </c>
      <c r="B20" s="61">
        <f>Dados!R27</f>
        <v>0</v>
      </c>
    </row>
    <row r="21">
      <c r="A21" s="62"/>
      <c r="B21" s="62"/>
    </row>
    <row r="22">
      <c r="A22" s="62"/>
      <c r="B22" s="62"/>
    </row>
    <row r="23">
      <c r="A23" s="62"/>
      <c r="B23" s="62"/>
    </row>
    <row r="24">
      <c r="A24" s="62"/>
      <c r="B24" s="62"/>
    </row>
    <row r="25">
      <c r="A25" s="62"/>
      <c r="B25" s="62"/>
    </row>
    <row r="26">
      <c r="A26" s="62"/>
      <c r="B26" s="62"/>
    </row>
    <row r="27">
      <c r="A27" s="62"/>
      <c r="B27" s="62"/>
    </row>
    <row r="28">
      <c r="A28" s="62"/>
      <c r="B28" s="62"/>
    </row>
    <row r="29">
      <c r="A29" s="62"/>
      <c r="B29" s="62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63" t="s">
        <v>46</v>
      </c>
      <c r="B1" s="64"/>
      <c r="C1" s="65"/>
      <c r="D1" s="66"/>
      <c r="E1" s="67" t="str">
        <f>UPPER(CONFFLUXO!A3)</f>
        <v>CENTRO</v>
      </c>
      <c r="F1" s="64"/>
      <c r="G1" s="65"/>
      <c r="H1" s="68"/>
      <c r="I1" s="68"/>
      <c r="J1" s="68"/>
      <c r="K1" s="68"/>
    </row>
    <row r="2" ht="22.5" customHeight="1">
      <c r="A2" s="63" t="s">
        <v>20</v>
      </c>
      <c r="B2" s="64"/>
      <c r="C2" s="65"/>
      <c r="D2" s="66"/>
      <c r="E2" s="69">
        <f>SUM(E3:G3)</f>
        <v>336</v>
      </c>
      <c r="F2" s="64"/>
      <c r="G2" s="65"/>
      <c r="H2" s="68"/>
      <c r="I2" s="68"/>
      <c r="J2" s="68"/>
      <c r="K2" s="68"/>
    </row>
    <row r="3" ht="22.5" customHeight="1">
      <c r="A3" s="70"/>
      <c r="B3" s="70"/>
      <c r="C3" s="70"/>
      <c r="D3" s="71"/>
      <c r="E3" s="72">
        <f>CONFFLUXO!Q3</f>
        <v>39</v>
      </c>
      <c r="F3" s="72">
        <f>CONFFLUXO!Q4</f>
        <v>253</v>
      </c>
      <c r="G3" s="72">
        <f>CONFFLUXO!Q5</f>
        <v>44</v>
      </c>
      <c r="H3" s="68"/>
      <c r="I3" s="68"/>
      <c r="J3" s="68"/>
      <c r="K3" s="68"/>
    </row>
    <row r="4" ht="25.5" customHeight="1">
      <c r="A4" s="73"/>
      <c r="B4" s="73"/>
      <c r="C4" s="70"/>
      <c r="D4" s="70"/>
      <c r="E4" s="68"/>
      <c r="F4" s="68"/>
      <c r="G4" s="68"/>
      <c r="H4" s="74"/>
      <c r="I4" s="74"/>
      <c r="J4" s="75"/>
      <c r="K4" s="75"/>
    </row>
    <row r="5" ht="71.25" customHeight="1">
      <c r="A5" s="76" t="str">
        <f>UPPER(CONFFLUXO!A12)</f>
        <v>LAGOA DO ARAÇÁ</v>
      </c>
      <c r="B5" s="77">
        <f>SUM(C5:C7)</f>
        <v>327</v>
      </c>
      <c r="C5" s="78">
        <f>CONFFLUXO!Q14</f>
        <v>40</v>
      </c>
      <c r="D5" s="70"/>
      <c r="E5" s="68"/>
      <c r="F5" s="68"/>
      <c r="G5" s="68"/>
      <c r="H5" s="74"/>
      <c r="I5" s="79">
        <f>CONFFLUXO!Q6</f>
        <v>44</v>
      </c>
      <c r="J5" s="80">
        <f>SUM(I5:I7)</f>
        <v>185</v>
      </c>
      <c r="K5" s="81" t="str">
        <f>UPPER(CONFFLUXO!A6)</f>
        <v>BOA VIAGEM</v>
      </c>
    </row>
    <row r="6" ht="71.25" customHeight="1">
      <c r="A6" s="82"/>
      <c r="B6" s="82"/>
      <c r="C6" s="78">
        <f>CONFFLUXO!Q13</f>
        <v>146</v>
      </c>
      <c r="D6" s="70"/>
      <c r="E6" s="68"/>
      <c r="F6" s="83">
        <f>SUM(E3:G3,I5:I7,E9:G9,C5:C7)</f>
        <v>1386</v>
      </c>
      <c r="G6" s="68"/>
      <c r="H6" s="74"/>
      <c r="I6" s="79">
        <f>CONFFLUXO!Q7</f>
        <v>130</v>
      </c>
      <c r="J6" s="82"/>
      <c r="K6" s="82"/>
    </row>
    <row r="7" ht="71.25" customHeight="1">
      <c r="A7" s="84"/>
      <c r="B7" s="84"/>
      <c r="C7" s="78">
        <f>CONFFLUXO!Q12</f>
        <v>141</v>
      </c>
      <c r="D7" s="70"/>
      <c r="E7" s="68"/>
      <c r="F7" s="68"/>
      <c r="G7" s="68"/>
      <c r="H7" s="74"/>
      <c r="I7" s="79">
        <f>CONFFLUXO!Q8</f>
        <v>11</v>
      </c>
      <c r="J7" s="84"/>
      <c r="K7" s="84"/>
    </row>
    <row r="8" ht="27.0" customHeight="1">
      <c r="A8" s="70"/>
      <c r="B8" s="70"/>
      <c r="C8" s="70"/>
      <c r="D8" s="70"/>
      <c r="E8" s="68"/>
      <c r="F8" s="68"/>
      <c r="G8" s="68"/>
      <c r="H8" s="68"/>
      <c r="I8" s="68"/>
      <c r="J8" s="68"/>
      <c r="K8" s="68"/>
    </row>
    <row r="9" ht="22.5" customHeight="1">
      <c r="A9" s="70"/>
      <c r="B9" s="70"/>
      <c r="C9" s="85"/>
      <c r="D9" s="85"/>
      <c r="E9" s="86">
        <f>CONFFLUXO!Q11</f>
        <v>89</v>
      </c>
      <c r="F9" s="86">
        <f>CONFFLUXO!Q10</f>
        <v>430</v>
      </c>
      <c r="G9" s="86">
        <f>CONFFLUXO!Q9</f>
        <v>19</v>
      </c>
      <c r="H9" s="68"/>
      <c r="I9" s="68"/>
      <c r="J9" s="68"/>
      <c r="K9" s="68"/>
    </row>
    <row r="10" ht="22.5" customHeight="1">
      <c r="A10" s="70"/>
      <c r="B10" s="70"/>
      <c r="C10" s="70"/>
      <c r="D10" s="70"/>
      <c r="E10" s="87">
        <f>SUM(E9:G9)</f>
        <v>538</v>
      </c>
      <c r="F10" s="64"/>
      <c r="G10" s="65"/>
      <c r="H10" s="68"/>
      <c r="I10" s="68"/>
      <c r="J10" s="68"/>
      <c r="K10" s="68"/>
    </row>
    <row r="11" ht="22.5" customHeight="1">
      <c r="A11" s="70"/>
      <c r="B11" s="70"/>
      <c r="C11" s="70"/>
      <c r="D11" s="70"/>
      <c r="E11" s="67" t="str">
        <f>UPPER(CONFFLUXO!A9)</f>
        <v>JABOATÃO</v>
      </c>
      <c r="F11" s="64"/>
      <c r="G11" s="65"/>
      <c r="H11" s="68"/>
      <c r="I11" s="68"/>
      <c r="J11" s="68"/>
      <c r="K11" s="88">
        <f>MAX(3:3,I:I,9:9,C:C)</f>
        <v>430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