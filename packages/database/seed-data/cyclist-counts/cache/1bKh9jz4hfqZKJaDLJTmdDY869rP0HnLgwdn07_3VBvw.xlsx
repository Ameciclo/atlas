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5"/>
    <sheet state="visible" name="Dados" sheetId="2" r:id="rId6"/>
    <sheet state="hidden" name="CONFFLUXO" sheetId="3" r:id="rId7"/>
    <sheet state="visible" name="Gráficos" sheetId="4" r:id="rId8"/>
    <sheet state="visible" name="Fluxo" sheetId="5" r:id="rId9"/>
    <sheet state="visible" name="Coordenadas" sheetId="6" r:id="rId10"/>
  </sheets>
  <definedNames/>
  <calcPr/>
</workbook>
</file>

<file path=xl/sharedStrings.xml><?xml version="1.0" encoding="utf-8"?>
<sst xmlns="http://schemas.openxmlformats.org/spreadsheetml/2006/main" count="130" uniqueCount="59">
  <si>
    <t>Cruzamento</t>
  </si>
  <si>
    <t>Varadouro | Olinda</t>
  </si>
  <si>
    <t>Data</t>
  </si>
  <si>
    <t>Coordenadas Geográficas</t>
  </si>
  <si>
    <t>-8.02016, -34.85586</t>
  </si>
  <si>
    <t>Relatório</t>
  </si>
  <si>
    <t>https://drive.google.com/file/d/1L8bQ5C_xBzTkpbeW2_L5Zr-DGJlnWqxT/view?usp=sharing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</si>
  <si>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</si>
  <si>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</si>
  <si>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</si>
  <si>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</si>
  <si>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</si>
  <si>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</si>
  <si>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</si>
  <si>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</si>
  <si>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</si>
  <si>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</si>
  <si>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Dados quantitativos e sentido de deslocamento</t>
  </si>
  <si>
    <t>ORIGEM</t>
  </si>
  <si>
    <t>DESTINO</t>
  </si>
  <si>
    <t>TOTAL</t>
  </si>
  <si>
    <t>%</t>
  </si>
  <si>
    <t>Sigismundo</t>
  </si>
  <si>
    <t>Quinze</t>
  </si>
  <si>
    <t>Kennedy</t>
  </si>
  <si>
    <t>Olinda</t>
  </si>
  <si>
    <t>Percentual</t>
  </si>
  <si>
    <t>Dados qualitativos padrões</t>
  </si>
  <si>
    <t>Característica</t>
  </si>
  <si>
    <t>Dados qualitativos das observações</t>
  </si>
  <si>
    <t>Carona criança</t>
  </si>
  <si>
    <t>Carona mulher</t>
  </si>
  <si>
    <t>Carona homem</t>
  </si>
  <si>
    <t>Cargueira tradicional</t>
  </si>
  <si>
    <t>Adaptada a carga</t>
  </si>
  <si>
    <t>Serviço APP</t>
  </si>
  <si>
    <t>Contramão para conversão</t>
  </si>
  <si>
    <t>Bike PE</t>
  </si>
  <si>
    <t>Triciclo e carroça</t>
  </si>
  <si>
    <t>Elétrica</t>
  </si>
  <si>
    <t>Motorizada</t>
  </si>
  <si>
    <t>Skate e outros patináveis</t>
  </si>
  <si>
    <t>Empurrando</t>
  </si>
  <si>
    <t>Grupos de Pedal</t>
  </si>
  <si>
    <t>Cadeirante</t>
  </si>
  <si>
    <t>Utilizando a Ciclofaixa</t>
  </si>
  <si>
    <t>Usando máscara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</si>
  <si>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</si>
  <si>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</si>
  <si>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</si>
  <si>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</si>
  <si>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</si>
  <si>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</si>
  <si>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</si>
  <si>
    <t>@</t>
  </si>
  <si>
    <t>Norte</t>
  </si>
  <si>
    <t>Leste</t>
  </si>
  <si>
    <t>Sul</t>
  </si>
  <si>
    <t>Oeste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</si>
</sst>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0.0%"/>
  </numFmts>
  <fonts count="17">
    <font>
      <sz val="10.0"/>
      <color rgb="FF000000"/>
      <name val="Calibri"/>
      <scheme val="minor"/>
    </font>
    <font>
      <b/>
      <sz val="12.0"/>
      <color rgb="FFFFFFFF"/>
      <name val="Ubuntu"/>
    </font>
    <font>
      <sz val="13.0"/>
      <color theme="1"/>
      <name val="Ubuntu"/>
    </font>
    <font>
      <sz val="12.0"/>
      <color theme="1"/>
      <name val="Ubuntu"/>
    </font>
    <font>
      <u/>
      <sz val="12.0"/>
      <color rgb="FF1155CC"/>
      <name val="Ubuntu"/>
    </font>
    <font>
      <color theme="1"/>
      <name val="Calibri"/>
    </font>
    <font>
      <sz val="12.0"/>
      <color rgb="FF000000"/>
      <name val="Ubuntu"/>
    </font>
    <font>
      <sz val="12.0"/>
      <color rgb="FFFFFFFF"/>
      <name val="Ubuntu"/>
    </font>
    <font>
      <b/>
      <sz val="12.0"/>
      <color rgb="FF000000"/>
      <name val="Ubuntu"/>
    </font>
    <font>
      <color theme="1"/>
      <name val="Calibri"/>
      <scheme val="minor"/>
    </font>
    <font>
      <color theme="1"/>
      <name val="Arial"/>
    </font>
    <font>
      <sz val="14.0"/>
      <color theme="1"/>
      <name val="Ubuntu"/>
    </font>
    <font/>
    <font>
      <b/>
      <sz val="14.0"/>
      <color rgb="FFFFFFFF"/>
      <name val="Ubuntu"/>
    </font>
    <font>
      <b/>
      <sz val="14.0"/>
      <color theme="1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vertical="bottom" wrapText="1"/>
    </xf>
    <xf borderId="0" fillId="0" fontId="2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horizontal="right" readingOrder="0" shrinkToFit="0" wrapText="1"/>
    </xf>
    <xf borderId="0" fillId="0" fontId="3" numFmtId="0" xfId="0" applyAlignment="1" applyFont="1">
      <alignment horizontal="right" readingOrder="0" shrinkToFit="0" wrapText="1"/>
    </xf>
    <xf borderId="0" fillId="0" fontId="4" numFmtId="0" xfId="0" applyAlignment="1" applyFont="1">
      <alignment horizontal="right" readingOrder="0" shrinkToFit="0" wrapText="1"/>
    </xf>
    <xf borderId="0" fillId="0" fontId="3" numFmtId="0" xfId="0" applyAlignment="1" applyFont="1">
      <alignment horizontal="right" shrinkToFit="0" wrapText="1"/>
    </xf>
    <xf borderId="0" fillId="0" fontId="3" numFmtId="165" xfId="0" applyAlignment="1" applyFont="1" applyNumberFormat="1">
      <alignment horizontal="right" shrinkToFit="0" wrapText="1"/>
    </xf>
    <xf borderId="0" fillId="2" fontId="5" numFmtId="0" xfId="0" applyAlignment="1" applyFont="1">
      <alignment shrinkToFit="0" wrapText="1"/>
    </xf>
    <xf borderId="0" fillId="2" fontId="1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center" wrapText="1"/>
    </xf>
    <xf borderId="0" fillId="3" fontId="5" numFmtId="0" xfId="0" applyAlignment="1" applyFill="1" applyFont="1">
      <alignment shrinkToFit="0" wrapText="1"/>
    </xf>
    <xf borderId="0" fillId="3" fontId="1" numFmtId="0" xfId="0" applyAlignment="1" applyFont="1">
      <alignment shrinkToFit="0" vertical="center" wrapText="0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2" fontId="5" numFmtId="0" xfId="0" applyAlignment="1" applyFont="1">
      <alignment shrinkToFit="0" wrapText="1"/>
    </xf>
    <xf borderId="0" fillId="3" fontId="5" numFmtId="0" xfId="0" applyAlignment="1" applyFont="1">
      <alignment shrinkToFit="0" wrapText="1"/>
    </xf>
    <xf borderId="0" fillId="4" fontId="6" numFmtId="0" xfId="0" applyAlignment="1" applyFill="1" applyFont="1">
      <alignment readingOrder="0" shrinkToFit="0" vertical="bottom" wrapText="1"/>
    </xf>
    <xf borderId="0" fillId="0" fontId="6" numFmtId="0" xfId="0" applyAlignment="1" applyFont="1">
      <alignment readingOrder="0" shrinkToFit="0" vertical="center" wrapText="0"/>
    </xf>
    <xf borderId="0" fillId="4" fontId="6" numFmtId="0" xfId="0" applyAlignment="1" applyFont="1">
      <alignment horizontal="right" readingOrder="0" shrinkToFit="0" wrapText="1"/>
    </xf>
    <xf borderId="0" fillId="0" fontId="6" numFmtId="0" xfId="0" applyAlignment="1" applyFont="1">
      <alignment readingOrder="0" shrinkToFit="0" vertical="center" wrapText="1"/>
    </xf>
    <xf borderId="0" fillId="5" fontId="6" numFmtId="0" xfId="0" applyAlignment="1" applyFill="1" applyFont="1">
      <alignment readingOrder="0" shrinkToFit="0" vertical="bottom" wrapText="1"/>
    </xf>
    <xf borderId="0" fillId="5" fontId="6" numFmtId="0" xfId="0" applyAlignment="1" applyFont="1">
      <alignment horizontal="right" readingOrder="0" shrinkToFit="0" wrapText="1"/>
    </xf>
    <xf borderId="0" fillId="2" fontId="5" numFmtId="10" xfId="0" applyAlignment="1" applyFont="1" applyNumberFormat="1">
      <alignment shrinkToFit="0" wrapText="1"/>
    </xf>
    <xf borderId="0" fillId="2" fontId="1" numFmtId="10" xfId="0" applyAlignment="1" applyFont="1" applyNumberFormat="1">
      <alignment shrinkToFit="0" vertical="center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5" numFmtId="10" xfId="0" applyAlignment="1" applyFont="1" applyNumberFormat="1">
      <alignment shrinkToFit="0" wrapText="1"/>
    </xf>
    <xf borderId="0" fillId="4" fontId="1" numFmtId="10" xfId="0" applyAlignment="1" applyFont="1" applyNumberFormat="1">
      <alignment shrinkToFit="0" vertical="center" wrapText="0"/>
    </xf>
    <xf borderId="0" fillId="4" fontId="7" numFmtId="10" xfId="0" applyAlignment="1" applyFont="1" applyNumberFormat="1">
      <alignment horizontal="center" shrinkToFit="0" vertical="center" wrapText="0"/>
    </xf>
    <xf borderId="0" fillId="4" fontId="7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horizontal="right" shrinkToFit="0" vertical="center" wrapText="0"/>
    </xf>
    <xf borderId="0" fillId="2" fontId="1" numFmtId="0" xfId="0" applyAlignment="1" applyFont="1">
      <alignment shrinkToFit="0" vertical="center" wrapText="0"/>
    </xf>
    <xf borderId="0" fillId="2" fontId="8" numFmtId="0" xfId="0" applyAlignment="1" applyFont="1">
      <alignment shrinkToFit="0" vertical="center" wrapText="0"/>
    </xf>
    <xf borderId="0" fillId="0" fontId="6" numFmtId="0" xfId="0" applyAlignment="1" applyFont="1">
      <alignment shrinkToFit="0" vertical="center" wrapText="1"/>
    </xf>
    <xf borderId="0" fillId="0" fontId="5" numFmtId="0" xfId="0" applyAlignment="1" applyFont="1">
      <alignment shrinkToFit="0" wrapText="1"/>
    </xf>
    <xf borderId="0" fillId="0" fontId="6" numFmtId="0" xfId="0" applyAlignment="1" applyFont="1">
      <alignment shrinkToFit="0" vertical="center" wrapText="0"/>
    </xf>
    <xf borderId="0" fillId="0" fontId="6" numFmtId="0" xfId="0" applyAlignment="1" applyFont="1">
      <alignment horizontal="center" shrinkToFit="0" vertical="center" wrapText="0"/>
    </xf>
    <xf borderId="0" fillId="0" fontId="6" numFmtId="165" xfId="0" applyAlignment="1" applyFont="1" applyNumberFormat="1">
      <alignment horizontal="center" shrinkToFit="0" vertical="center" wrapText="0"/>
    </xf>
    <xf borderId="0" fillId="5" fontId="6" numFmtId="0" xfId="0" applyAlignment="1" applyFont="1">
      <alignment shrinkToFit="0" vertical="center" wrapText="1"/>
    </xf>
    <xf borderId="0" fillId="5" fontId="6" numFmtId="0" xfId="0" applyAlignment="1" applyFont="1">
      <alignment readingOrder="0" shrinkToFit="0" vertical="center" wrapText="1"/>
    </xf>
    <xf borderId="0" fillId="5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5" numFmtId="0" xfId="0" applyAlignment="1" applyFont="1">
      <alignment shrinkToFit="0" wrapText="1"/>
    </xf>
    <xf borderId="0" fillId="0" fontId="9" numFmtId="0" xfId="0" applyAlignment="1" applyFont="1">
      <alignment shrinkToFit="0" wrapText="1"/>
    </xf>
    <xf borderId="0" fillId="0" fontId="9" numFmtId="0" xfId="0" applyAlignment="1" applyFont="1">
      <alignment shrinkToFit="0" wrapText="1"/>
    </xf>
    <xf borderId="0" fillId="0" fontId="9" numFmtId="165" xfId="0" applyAlignment="1" applyFont="1" applyNumberFormat="1">
      <alignment shrinkToFit="0" wrapText="1"/>
    </xf>
    <xf borderId="0" fillId="6" fontId="9" numFmtId="0" xfId="0" applyAlignment="1" applyFill="1" applyFont="1">
      <alignment horizontal="center" shrinkToFit="0" wrapText="1"/>
    </xf>
    <xf borderId="0" fillId="4" fontId="9" numFmtId="0" xfId="0" applyAlignment="1" applyFont="1">
      <alignment shrinkToFit="0" wrapText="1"/>
    </xf>
    <xf borderId="0" fillId="4" fontId="10" numFmtId="0" xfId="0" applyAlignment="1" applyFont="1">
      <alignment horizontal="right" shrinkToFit="0" vertical="bottom" wrapText="1"/>
    </xf>
    <xf borderId="0" fillId="5" fontId="9" numFmtId="0" xfId="0" applyAlignment="1" applyFont="1">
      <alignment shrinkToFit="0" wrapText="1"/>
    </xf>
    <xf borderId="0" fillId="5" fontId="10" numFmtId="0" xfId="0" applyAlignment="1" applyFont="1">
      <alignment horizontal="right" shrinkToFit="0" vertical="bottom" wrapText="1"/>
    </xf>
    <xf borderId="0" fillId="4" fontId="10" numFmtId="0" xfId="0" applyAlignment="1" applyFont="1">
      <alignment shrinkToFit="0" vertical="bottom" wrapText="1"/>
    </xf>
    <xf borderId="0" fillId="5" fontId="10" numFmtId="0" xfId="0" applyAlignment="1" applyFont="1">
      <alignment shrinkToFit="0" vertical="bottom" wrapText="1"/>
    </xf>
    <xf borderId="0" fillId="7" fontId="9" numFmtId="0" xfId="0" applyAlignment="1" applyFill="1" applyFont="1">
      <alignment horizontal="center" shrinkToFit="0" wrapText="1"/>
    </xf>
    <xf borderId="0" fillId="8" fontId="9" numFmtId="0" xfId="0" applyAlignment="1" applyFill="1" applyFont="1">
      <alignment shrinkToFit="0" wrapText="1"/>
    </xf>
    <xf borderId="0" fillId="8" fontId="10" numFmtId="165" xfId="0" applyAlignment="1" applyFont="1" applyNumberFormat="1">
      <alignment horizontal="right" shrinkToFit="0" vertical="bottom" wrapText="1"/>
    </xf>
    <xf borderId="0" fillId="4" fontId="10" numFmtId="165" xfId="0" applyAlignment="1" applyFont="1" applyNumberFormat="1">
      <alignment horizontal="right" shrinkToFit="0" vertical="bottom" wrapText="1"/>
    </xf>
    <xf borderId="0" fillId="0" fontId="9" numFmtId="0" xfId="0" applyAlignment="1" applyFont="1">
      <alignment horizontal="center" shrinkToFit="0" wrapText="1"/>
    </xf>
    <xf borderId="0" fillId="0" fontId="9" numFmtId="165" xfId="0" applyAlignment="1" applyFont="1" applyNumberFormat="1">
      <alignment horizontal="center" shrinkToFit="0" wrapText="1"/>
    </xf>
    <xf borderId="0" fillId="0" fontId="9" numFmtId="0" xfId="0" applyAlignment="1" applyFont="1">
      <alignment horizontal="center" shrinkToFit="0" wrapText="1"/>
    </xf>
    <xf borderId="0" fillId="0" fontId="9" numFmtId="165" xfId="0" applyAlignment="1" applyFont="1" applyNumberFormat="1">
      <alignment horizontal="center" shrinkToFit="0" wrapText="1"/>
    </xf>
    <xf borderId="1" fillId="0" fontId="11" numFmtId="0" xfId="0" applyAlignment="1" applyBorder="1" applyFont="1">
      <alignment horizontal="center" shrinkToFit="0" vertical="center" wrapText="1"/>
    </xf>
    <xf borderId="2" fillId="0" fontId="12" numFmtId="0" xfId="0" applyAlignment="1" applyBorder="1" applyFont="1">
      <alignment shrinkToFit="0" wrapText="1"/>
    </xf>
    <xf borderId="3" fillId="0" fontId="12" numFmtId="0" xfId="0" applyAlignment="1" applyBorder="1" applyFont="1">
      <alignment shrinkToFit="0" wrapText="1"/>
    </xf>
    <xf borderId="4" fillId="0" fontId="11" numFmtId="0" xfId="0" applyAlignment="1" applyBorder="1" applyFont="1">
      <alignment horizontal="center" readingOrder="0" shrinkToFit="0" vertical="center" wrapText="1"/>
    </xf>
    <xf borderId="1" fillId="2" fontId="13" numFmtId="0" xfId="0" applyAlignment="1" applyBorder="1" applyFont="1">
      <alignment horizontal="center" shrinkToFit="0" vertical="center" wrapText="1"/>
    </xf>
    <xf borderId="4" fillId="0" fontId="11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1" fillId="3" fontId="13" numFmtId="0" xfId="0" applyAlignment="1" applyBorder="1" applyFont="1">
      <alignment horizontal="center" shrinkToFit="0" vertical="center" wrapText="1"/>
    </xf>
    <xf borderId="4" fillId="0" fontId="11" numFmtId="0" xfId="0" applyAlignment="1" applyBorder="1" applyFont="1">
      <alignment horizontal="center" shrinkToFit="0" textRotation="90" vertical="center" wrapText="1"/>
    </xf>
    <xf borderId="4" fillId="0" fontId="11" numFmtId="0" xfId="0" applyAlignment="1" applyBorder="1" applyFont="1">
      <alignment horizontal="center" shrinkToFit="0" textRotation="90" vertical="bottom" wrapText="1"/>
    </xf>
    <xf borderId="4" fillId="0" fontId="11" numFmtId="0" xfId="0" applyAlignment="1" applyBorder="1" applyFont="1">
      <alignment horizontal="center" shrinkToFit="0" vertical="bottom" wrapText="1"/>
    </xf>
    <xf borderId="4" fillId="0" fontId="14" numFmtId="0" xfId="0" applyAlignment="1" applyBorder="1" applyFont="1">
      <alignment horizontal="center" shrinkToFit="0" textRotation="90" vertical="center" wrapText="1"/>
    </xf>
    <xf borderId="4" fillId="0" fontId="11" numFmtId="0" xfId="0" applyAlignment="1" applyBorder="1" applyFont="1">
      <alignment horizontal="center" shrinkToFit="0" textRotation="180" vertical="center" wrapText="1"/>
    </xf>
    <xf borderId="4" fillId="0" fontId="14" numFmtId="0" xfId="0" applyAlignment="1" applyBorder="1" applyFont="1">
      <alignment horizontal="center" shrinkToFit="0" textRotation="180" vertical="center" wrapText="1"/>
    </xf>
    <xf borderId="5" fillId="2" fontId="13" numFmtId="0" xfId="0" applyAlignment="1" applyBorder="1" applyFont="1">
      <alignment horizontal="center" shrinkToFit="0" textRotation="90" vertical="center" wrapText="1"/>
    </xf>
    <xf borderId="5" fillId="3" fontId="13" numFmtId="0" xfId="0" applyAlignment="1" applyBorder="1" applyFont="1">
      <alignment horizontal="center" shrinkToFit="0" textRotation="90" vertical="center" wrapText="1"/>
    </xf>
    <xf borderId="4" fillId="0" fontId="11" numFmtId="0" xfId="0" applyAlignment="1" applyBorder="1" applyFont="1">
      <alignment horizontal="right" shrinkToFit="0" textRotation="90" vertical="center" wrapText="1"/>
    </xf>
    <xf borderId="4" fillId="0" fontId="11" numFmtId="0" xfId="0" applyAlignment="1" applyBorder="1" applyFont="1">
      <alignment horizontal="left" shrinkToFit="0" textRotation="180" vertical="center" wrapText="1"/>
    </xf>
    <xf borderId="5" fillId="3" fontId="13" numFmtId="0" xfId="0" applyAlignment="1" applyBorder="1" applyFont="1">
      <alignment horizontal="center" shrinkToFit="0" textRotation="180" vertical="center" wrapText="1"/>
    </xf>
    <xf borderId="5" fillId="2" fontId="13" numFmtId="0" xfId="0" applyAlignment="1" applyBorder="1" applyFont="1">
      <alignment horizontal="center" shrinkToFit="0" textRotation="180" vertical="center" wrapText="1"/>
    </xf>
    <xf borderId="6" fillId="0" fontId="12" numFmtId="0" xfId="0" applyAlignment="1" applyBorder="1" applyFont="1">
      <alignment shrinkToFit="0" wrapText="1"/>
    </xf>
    <xf borderId="4" fillId="2" fontId="15" numFmtId="0" xfId="0" applyAlignment="1" applyBorder="1" applyFont="1">
      <alignment horizontal="center" shrinkToFit="0" vertical="center" wrapText="1"/>
    </xf>
    <xf borderId="7" fillId="0" fontId="12" numFmtId="0" xfId="0" applyAlignment="1" applyBorder="1" applyFont="1">
      <alignment shrinkToFit="0" wrapText="1"/>
    </xf>
    <xf borderId="4" fillId="0" fontId="11" numFmtId="0" xfId="0" applyAlignment="1" applyBorder="1" applyFont="1">
      <alignment horizontal="center" shrinkToFit="0" textRotation="90" vertical="top" wrapText="1"/>
    </xf>
    <xf borderId="4" fillId="0" fontId="11" numFmtId="0" xfId="0" applyAlignment="1" applyBorder="1" applyFont="1">
      <alignment horizontal="center" shrinkToFit="0" vertical="top" wrapText="1"/>
    </xf>
    <xf borderId="4" fillId="0" fontId="16" numFmtId="0" xfId="0" applyAlignment="1" applyBorder="1" applyFont="1">
      <alignment horizontal="center" shrinkToFit="0" vertical="center" wrapText="1"/>
    </xf>
    <xf borderId="0" fillId="2" fontId="1" numFmtId="0" xfId="0" applyAlignment="1" applyFont="1">
      <alignment shrinkToFit="0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6">
    <tableStyle count="2" pivot="0" name="Resumo-style">
      <tableStyleElement dxfId="1" type="firstRowStripe"/>
      <tableStyleElement dxfId="2" type="secondRowStripe"/>
    </tableStyle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2" type="firstRowStripe"/>
      <tableStyleElement dxfId="1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  <tableStyle count="2" pivot="0" name="Gráficos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r>
              <a:rPr b="0" i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1307573144"/>
        <c:axId val="864926222"/>
      </c:barChart>
      <c:catAx>
        <c:axId val="1307573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864926222"/>
      </c:catAx>
      <c:valAx>
        <c:axId val="8649262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30757314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r>
              <a:rPr b="0" i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2588133"/>
        <c:axId val="3940801"/>
      </c:barChart>
      <c:catAx>
        <c:axId val="25881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3940801"/>
      </c:catAx>
      <c:valAx>
        <c:axId val="394080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88133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r>
              <a:rPr b="0" i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570918919"/>
        <c:axId val="673627321"/>
      </c:barChart>
      <c:catAx>
        <c:axId val="57091891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673627321"/>
      </c:catAx>
      <c:valAx>
        <c:axId val="6736273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0918919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11</xdr:row>
      <xdr:rowOff>66675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:A14" displayName="Table_1" name="Table_1" id="1">
  <tableColumns count="1">
    <tableColumn name="Column1" id="1"/>
  </tableColumns>
  <tableStyleInfo name="Resumo-style" showColumnStripes="0" showFirstColumn="1" showLastColumn="1" showRowStripes="1"/>
</table>
</file>

<file path=xl/tables/table2.xml><?xml version="1.0" encoding="utf-8"?>
<table xmlns="http://schemas.openxmlformats.org/spreadsheetml/2006/main" headerRowCount="0" ref="A3:R14" displayName="Table_2" name="Table_2" id="2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Dados-style" showColumnStripes="0" showFirstColumn="1" showLastColumn="1" showRowStripes="1"/>
</table>
</file>

<file path=xl/tables/table3.xml><?xml version="1.0" encoding="utf-8"?>
<table xmlns="http://schemas.openxmlformats.org/spreadsheetml/2006/main" headerRowCount="0" ref="D20:R28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4.xml><?xml version="1.0" encoding="utf-8"?>
<table xmlns="http://schemas.openxmlformats.org/spreadsheetml/2006/main" headerRowCount="0" ref="D32:R50" displayName="Table_4" name="Table_4" id="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5.xml><?xml version="1.0" encoding="utf-8"?>
<table xmlns="http://schemas.openxmlformats.org/spreadsheetml/2006/main" ref="A12:B20" displayName="Table_5" name="Table_5" id="5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tables/table6.xml><?xml version="1.0" encoding="utf-8"?>
<table xmlns="http://schemas.openxmlformats.org/spreadsheetml/2006/main" headerRowCount="0" ref="A43:P54" displayName="Table_6" name="Table_6" id="6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Gráfico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L8bQ5C_xBzTkpbeW2_L5Zr-DGJlnWqxT/view?usp=sharing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2.xml"/><Relationship Id="rId6" Type="http://schemas.openxmlformats.org/officeDocument/2006/relationships/table" Target="../tables/table3.xml"/><Relationship Id="rId7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9.0"/>
    <col customWidth="1" min="2" max="2" width="33.14"/>
    <col customWidth="1" min="3" max="6" width="14.43"/>
  </cols>
  <sheetData>
    <row r="1" ht="12.75" customHeight="1">
      <c r="A1" s="1" t="s">
        <v>0</v>
      </c>
      <c r="B1" s="2" t="s">
        <v>1</v>
      </c>
    </row>
    <row r="2" ht="12.75" customHeight="1">
      <c r="A2" s="1" t="s">
        <v>2</v>
      </c>
      <c r="B2" s="3">
        <v>44447.0</v>
      </c>
    </row>
    <row r="3" ht="12.75" customHeight="1">
      <c r="A3" s="1" t="s">
        <v>3</v>
      </c>
      <c r="B3" s="4" t="s">
        <v>4</v>
      </c>
    </row>
    <row r="4" ht="12.75" customHeight="1">
      <c r="A4" s="1" t="s">
        <v>5</v>
      </c>
      <c r="B4" s="5" t="s">
        <v>6</v>
      </c>
    </row>
    <row r="5" ht="12.75" customHeight="1">
      <c r="A5" s="1" t="s">
        <v>7</v>
      </c>
      <c r="B5" s="6">
        <f>Dados!S15</f>
        <v>2126</v>
      </c>
    </row>
    <row r="6" ht="12.75" customHeight="1">
      <c r="A6" s="1" t="s">
        <v>8</v>
      </c>
      <c r="B6" s="6">
        <f>MAX(Dados!E15:R15)</f>
        <v>244</v>
      </c>
    </row>
    <row r="7" ht="12.75" customHeight="1">
      <c r="A7" s="1" t="s">
        <v>9</v>
      </c>
      <c r="B7" s="7">
        <f>Dados!T20</f>
        <v>0.06679209784</v>
      </c>
    </row>
    <row r="8" ht="12.75" customHeight="1">
      <c r="A8" s="1" t="s">
        <v>10</v>
      </c>
      <c r="B8" s="7">
        <f>Dados!T21</f>
        <v>0.01599247413</v>
      </c>
    </row>
    <row r="9" ht="12.75" customHeight="1">
      <c r="A9" s="1" t="s">
        <v>11</v>
      </c>
      <c r="B9" s="7">
        <f>Dados!T22</f>
        <v>0.08231420508</v>
      </c>
    </row>
    <row r="10" ht="12.75" customHeight="1">
      <c r="A10" s="1" t="s">
        <v>12</v>
      </c>
      <c r="B10" s="7">
        <f>Dados!T23</f>
        <v>0.04891815616</v>
      </c>
    </row>
    <row r="11" ht="12.75" customHeight="1">
      <c r="A11" s="1" t="s">
        <v>13</v>
      </c>
      <c r="B11" s="7">
        <f>Dados!T24</f>
        <v>0.1980244591</v>
      </c>
    </row>
    <row r="12" ht="12.75" customHeight="1">
      <c r="A12" s="1" t="s">
        <v>14</v>
      </c>
      <c r="B12" s="7">
        <f>Dados!T25</f>
        <v>0.03010348071</v>
      </c>
    </row>
    <row r="13" ht="12.75" customHeight="1">
      <c r="A13" s="1" t="s">
        <v>15</v>
      </c>
      <c r="B13" s="7">
        <f>Dados!T26</f>
        <v>0.1585136406</v>
      </c>
    </row>
    <row r="14" ht="12.75" customHeight="1">
      <c r="A14" s="1" t="s">
        <v>16</v>
      </c>
      <c r="B14" s="7">
        <f>Dados!T27</f>
        <v>0.1307619944</v>
      </c>
    </row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hyperlinks>
    <hyperlink r:id="rId1" ref="B4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2" width="3.14"/>
    <col customWidth="1" min="3" max="3" width="17.71"/>
    <col customWidth="1" min="4" max="4" width="21.14"/>
    <col customWidth="1" min="5" max="7" width="9.0"/>
    <col customWidth="1" min="8" max="18" width="7.71"/>
    <col customWidth="1" min="19" max="19" width="10.0"/>
    <col customWidth="1" min="20" max="20" width="9.71"/>
  </cols>
  <sheetData>
    <row r="1">
      <c r="A1" s="8"/>
      <c r="B1" s="8"/>
      <c r="C1" s="9" t="s">
        <v>17</v>
      </c>
      <c r="U1" s="10"/>
      <c r="V1" s="10"/>
      <c r="W1" s="10"/>
      <c r="X1" s="10"/>
      <c r="Y1" s="10"/>
      <c r="Z1" s="10"/>
      <c r="AA1" s="10"/>
      <c r="AB1" s="10"/>
    </row>
    <row r="2">
      <c r="A2" s="8"/>
      <c r="B2" s="11"/>
      <c r="C2" s="12" t="s">
        <v>18</v>
      </c>
      <c r="D2" s="12" t="s">
        <v>19</v>
      </c>
      <c r="E2" s="13">
        <v>6.0</v>
      </c>
      <c r="F2" s="13">
        <v>7.0</v>
      </c>
      <c r="G2" s="13">
        <v>8.0</v>
      </c>
      <c r="H2" s="13">
        <v>9.0</v>
      </c>
      <c r="I2" s="13">
        <v>10.0</v>
      </c>
      <c r="J2" s="13">
        <v>11.0</v>
      </c>
      <c r="K2" s="13">
        <v>12.0</v>
      </c>
      <c r="L2" s="13">
        <v>13.0</v>
      </c>
      <c r="M2" s="13">
        <v>14.0</v>
      </c>
      <c r="N2" s="13">
        <v>15.0</v>
      </c>
      <c r="O2" s="13">
        <v>16.0</v>
      </c>
      <c r="P2" s="13">
        <v>17.0</v>
      </c>
      <c r="Q2" s="13">
        <v>18.0</v>
      </c>
      <c r="R2" s="13">
        <v>19.0</v>
      </c>
      <c r="S2" s="13" t="s">
        <v>20</v>
      </c>
      <c r="T2" s="14" t="s">
        <v>21</v>
      </c>
      <c r="U2" s="10"/>
      <c r="V2" s="10"/>
      <c r="W2" s="10"/>
      <c r="X2" s="10"/>
      <c r="Y2" s="10"/>
      <c r="Z2" s="10"/>
      <c r="AA2" s="10"/>
      <c r="AB2" s="10"/>
    </row>
    <row r="3">
      <c r="A3" s="15"/>
      <c r="B3" s="16"/>
      <c r="C3" s="17" t="s">
        <v>22</v>
      </c>
      <c r="D3" s="17" t="s">
        <v>23</v>
      </c>
      <c r="E3" s="18">
        <v>3.0</v>
      </c>
      <c r="F3" s="18">
        <v>10.0</v>
      </c>
      <c r="G3" s="18">
        <v>12.0</v>
      </c>
      <c r="H3" s="18">
        <v>14.0</v>
      </c>
      <c r="I3" s="18">
        <v>10.0</v>
      </c>
      <c r="J3" s="18">
        <v>22.0</v>
      </c>
      <c r="K3" s="19">
        <v>12.0</v>
      </c>
      <c r="L3" s="18">
        <v>15.0</v>
      </c>
      <c r="M3" s="18">
        <v>10.0</v>
      </c>
      <c r="N3" s="18">
        <v>25.0</v>
      </c>
      <c r="O3" s="18">
        <v>30.0</v>
      </c>
      <c r="P3" s="20">
        <v>46.0</v>
      </c>
      <c r="Q3" s="20">
        <v>15.0</v>
      </c>
      <c r="R3" s="18">
        <v>8.0</v>
      </c>
      <c r="S3" s="13">
        <f t="shared" ref="S3:S14" si="1">SUM(E3:R3)</f>
        <v>232</v>
      </c>
      <c r="T3" s="14">
        <f t="shared" ref="T3:T14" si="2">S3/$S$15</f>
        <v>0.1091251176</v>
      </c>
      <c r="U3" s="10"/>
      <c r="V3" s="10"/>
      <c r="W3" s="10"/>
      <c r="X3" s="10"/>
      <c r="Y3" s="10"/>
      <c r="Z3" s="10"/>
      <c r="AA3" s="10"/>
      <c r="AB3" s="10"/>
    </row>
    <row r="4">
      <c r="A4" s="15"/>
      <c r="B4" s="16"/>
      <c r="C4" s="21" t="s">
        <v>22</v>
      </c>
      <c r="D4" s="21" t="s">
        <v>24</v>
      </c>
      <c r="E4" s="18">
        <v>31.0</v>
      </c>
      <c r="F4" s="18">
        <v>31.0</v>
      </c>
      <c r="G4" s="18">
        <v>39.0</v>
      </c>
      <c r="H4" s="18">
        <v>21.0</v>
      </c>
      <c r="I4" s="18">
        <v>28.0</v>
      </c>
      <c r="J4" s="18">
        <v>20.0</v>
      </c>
      <c r="K4" s="22">
        <v>33.0</v>
      </c>
      <c r="L4" s="18">
        <v>32.0</v>
      </c>
      <c r="M4" s="18">
        <v>31.0</v>
      </c>
      <c r="N4" s="18">
        <v>27.0</v>
      </c>
      <c r="O4" s="18">
        <v>30.0</v>
      </c>
      <c r="P4" s="20">
        <v>40.0</v>
      </c>
      <c r="Q4" s="20">
        <v>44.0</v>
      </c>
      <c r="R4" s="18">
        <v>19.0</v>
      </c>
      <c r="S4" s="13">
        <f t="shared" si="1"/>
        <v>426</v>
      </c>
      <c r="T4" s="14">
        <f t="shared" si="2"/>
        <v>0.2003762935</v>
      </c>
      <c r="U4" s="10"/>
      <c r="V4" s="10"/>
      <c r="W4" s="10"/>
      <c r="X4" s="10"/>
      <c r="Y4" s="10"/>
      <c r="Z4" s="10"/>
      <c r="AA4" s="10"/>
      <c r="AB4" s="10"/>
    </row>
    <row r="5">
      <c r="A5" s="15"/>
      <c r="B5" s="16"/>
      <c r="C5" s="17" t="s">
        <v>22</v>
      </c>
      <c r="D5" s="17" t="s">
        <v>25</v>
      </c>
      <c r="E5" s="18">
        <v>4.0</v>
      </c>
      <c r="F5" s="18">
        <v>11.0</v>
      </c>
      <c r="G5" s="18">
        <v>6.0</v>
      </c>
      <c r="H5" s="18">
        <v>8.0</v>
      </c>
      <c r="I5" s="18">
        <v>11.0</v>
      </c>
      <c r="J5" s="18">
        <v>12.0</v>
      </c>
      <c r="K5" s="19">
        <v>3.0</v>
      </c>
      <c r="L5" s="18">
        <v>13.0</v>
      </c>
      <c r="M5" s="18">
        <v>10.0</v>
      </c>
      <c r="N5" s="18">
        <v>15.0</v>
      </c>
      <c r="O5" s="18">
        <v>25.0</v>
      </c>
      <c r="P5" s="20">
        <v>34.0</v>
      </c>
      <c r="Q5" s="20">
        <v>0.0</v>
      </c>
      <c r="R5" s="18">
        <v>5.0</v>
      </c>
      <c r="S5" s="13">
        <f t="shared" si="1"/>
        <v>157</v>
      </c>
      <c r="T5" s="14">
        <f t="shared" si="2"/>
        <v>0.07384760113</v>
      </c>
      <c r="U5" s="10"/>
      <c r="V5" s="10"/>
      <c r="W5" s="10"/>
      <c r="X5" s="10"/>
      <c r="Y5" s="10"/>
      <c r="Z5" s="10"/>
      <c r="AA5" s="10"/>
      <c r="AB5" s="10"/>
    </row>
    <row r="6">
      <c r="A6" s="15"/>
      <c r="B6" s="16"/>
      <c r="C6" s="21" t="s">
        <v>25</v>
      </c>
      <c r="D6" s="21" t="s">
        <v>22</v>
      </c>
      <c r="E6" s="18">
        <v>15.0</v>
      </c>
      <c r="F6" s="18">
        <v>23.0</v>
      </c>
      <c r="G6" s="18">
        <v>43.0</v>
      </c>
      <c r="H6" s="18">
        <v>26.0</v>
      </c>
      <c r="I6" s="18">
        <v>22.0</v>
      </c>
      <c r="J6" s="18">
        <v>27.0</v>
      </c>
      <c r="K6" s="22">
        <v>26.0</v>
      </c>
      <c r="L6" s="18">
        <v>25.0</v>
      </c>
      <c r="M6" s="18">
        <v>26.0</v>
      </c>
      <c r="N6" s="18">
        <v>15.0</v>
      </c>
      <c r="O6" s="18">
        <v>26.0</v>
      </c>
      <c r="P6" s="20">
        <v>20.0</v>
      </c>
      <c r="Q6" s="20">
        <v>29.0</v>
      </c>
      <c r="R6" s="18">
        <v>12.0</v>
      </c>
      <c r="S6" s="13">
        <f t="shared" si="1"/>
        <v>335</v>
      </c>
      <c r="T6" s="14">
        <f t="shared" si="2"/>
        <v>0.1575729069</v>
      </c>
      <c r="U6" s="10"/>
      <c r="V6" s="10"/>
      <c r="W6" s="10"/>
      <c r="X6" s="10"/>
      <c r="Y6" s="10"/>
      <c r="Z6" s="10"/>
      <c r="AA6" s="10"/>
      <c r="AB6" s="10"/>
    </row>
    <row r="7">
      <c r="A7" s="15"/>
      <c r="B7" s="16"/>
      <c r="C7" s="17" t="s">
        <v>25</v>
      </c>
      <c r="D7" s="17" t="s">
        <v>23</v>
      </c>
      <c r="E7" s="18">
        <v>0.0</v>
      </c>
      <c r="F7" s="18">
        <v>0.0</v>
      </c>
      <c r="G7" s="18">
        <v>0.0</v>
      </c>
      <c r="H7" s="18">
        <v>1.0</v>
      </c>
      <c r="I7" s="18">
        <v>3.0</v>
      </c>
      <c r="J7" s="18">
        <v>2.0</v>
      </c>
      <c r="K7" s="19">
        <v>0.0</v>
      </c>
      <c r="L7" s="18">
        <v>3.0</v>
      </c>
      <c r="M7" s="18">
        <v>5.0</v>
      </c>
      <c r="N7" s="18">
        <v>10.0</v>
      </c>
      <c r="O7" s="18">
        <v>10.0</v>
      </c>
      <c r="P7" s="20">
        <v>10.0</v>
      </c>
      <c r="Q7" s="20">
        <v>0.0</v>
      </c>
      <c r="R7" s="18">
        <v>2.0</v>
      </c>
      <c r="S7" s="13">
        <f t="shared" si="1"/>
        <v>46</v>
      </c>
      <c r="T7" s="14">
        <f t="shared" si="2"/>
        <v>0.02163687676</v>
      </c>
      <c r="U7" s="10"/>
      <c r="V7" s="10"/>
      <c r="W7" s="10"/>
      <c r="X7" s="10"/>
      <c r="Y7" s="10"/>
      <c r="Z7" s="10"/>
      <c r="AA7" s="10"/>
      <c r="AB7" s="10"/>
    </row>
    <row r="8">
      <c r="A8" s="15"/>
      <c r="B8" s="16"/>
      <c r="C8" s="21" t="s">
        <v>25</v>
      </c>
      <c r="D8" s="21" t="s">
        <v>24</v>
      </c>
      <c r="E8" s="18">
        <v>0.0</v>
      </c>
      <c r="F8" s="18">
        <v>0.0</v>
      </c>
      <c r="G8" s="18">
        <v>0.0</v>
      </c>
      <c r="H8" s="18">
        <v>1.0</v>
      </c>
      <c r="I8" s="18">
        <v>3.0</v>
      </c>
      <c r="J8" s="18">
        <v>0.0</v>
      </c>
      <c r="K8" s="22">
        <v>2.0</v>
      </c>
      <c r="L8" s="18">
        <v>0.0</v>
      </c>
      <c r="M8" s="18">
        <v>0.0</v>
      </c>
      <c r="N8" s="18">
        <v>1.0</v>
      </c>
      <c r="O8" s="18">
        <v>0.0</v>
      </c>
      <c r="P8" s="20">
        <v>1.0</v>
      </c>
      <c r="Q8" s="20">
        <v>0.0</v>
      </c>
      <c r="R8" s="18">
        <v>1.0</v>
      </c>
      <c r="S8" s="13">
        <f t="shared" si="1"/>
        <v>9</v>
      </c>
      <c r="T8" s="14">
        <f t="shared" si="2"/>
        <v>0.004233301976</v>
      </c>
      <c r="U8" s="10"/>
      <c r="V8" s="10"/>
      <c r="W8" s="10"/>
      <c r="X8" s="10"/>
      <c r="Y8" s="10"/>
      <c r="Z8" s="10"/>
      <c r="AA8" s="10"/>
      <c r="AB8" s="10"/>
    </row>
    <row r="9">
      <c r="A9" s="15"/>
      <c r="B9" s="16"/>
      <c r="C9" s="17" t="s">
        <v>24</v>
      </c>
      <c r="D9" s="17" t="s">
        <v>25</v>
      </c>
      <c r="E9" s="18">
        <v>0.0</v>
      </c>
      <c r="F9" s="18">
        <v>0.0</v>
      </c>
      <c r="G9" s="18">
        <v>1.0</v>
      </c>
      <c r="H9" s="18">
        <v>0.0</v>
      </c>
      <c r="I9" s="18">
        <v>0.0</v>
      </c>
      <c r="J9" s="18">
        <v>0.0</v>
      </c>
      <c r="K9" s="19">
        <v>1.0</v>
      </c>
      <c r="L9" s="18">
        <v>0.0</v>
      </c>
      <c r="M9" s="18">
        <v>1.0</v>
      </c>
      <c r="N9" s="18">
        <v>6.0</v>
      </c>
      <c r="O9" s="18">
        <v>4.0</v>
      </c>
      <c r="P9" s="20">
        <v>20.0</v>
      </c>
      <c r="Q9" s="20">
        <v>0.0</v>
      </c>
      <c r="R9" s="18">
        <v>0.0</v>
      </c>
      <c r="S9" s="13">
        <f t="shared" si="1"/>
        <v>33</v>
      </c>
      <c r="T9" s="14">
        <f t="shared" si="2"/>
        <v>0.01552210724</v>
      </c>
      <c r="U9" s="10"/>
      <c r="V9" s="10"/>
      <c r="W9" s="10"/>
      <c r="X9" s="10"/>
      <c r="Y9" s="10"/>
      <c r="Z9" s="10"/>
      <c r="AA9" s="10"/>
      <c r="AB9" s="10"/>
    </row>
    <row r="10">
      <c r="A10" s="15"/>
      <c r="B10" s="16"/>
      <c r="C10" s="21" t="s">
        <v>24</v>
      </c>
      <c r="D10" s="21" t="s">
        <v>22</v>
      </c>
      <c r="E10" s="18">
        <v>44.0</v>
      </c>
      <c r="F10" s="18">
        <v>33.0</v>
      </c>
      <c r="G10" s="18">
        <v>29.0</v>
      </c>
      <c r="H10" s="18">
        <v>24.0</v>
      </c>
      <c r="I10" s="18">
        <v>37.0</v>
      </c>
      <c r="J10" s="18">
        <v>18.0</v>
      </c>
      <c r="K10" s="22">
        <v>11.0</v>
      </c>
      <c r="L10" s="18">
        <v>20.0</v>
      </c>
      <c r="M10" s="18">
        <v>9.0</v>
      </c>
      <c r="N10" s="18">
        <v>15.0</v>
      </c>
      <c r="O10" s="18">
        <v>15.0</v>
      </c>
      <c r="P10" s="20">
        <v>16.0</v>
      </c>
      <c r="Q10" s="20">
        <v>19.0</v>
      </c>
      <c r="R10" s="18">
        <v>17.0</v>
      </c>
      <c r="S10" s="13">
        <f t="shared" si="1"/>
        <v>307</v>
      </c>
      <c r="T10" s="14">
        <f t="shared" si="2"/>
        <v>0.1444026341</v>
      </c>
      <c r="U10" s="10"/>
      <c r="V10" s="10"/>
      <c r="W10" s="10"/>
      <c r="X10" s="10"/>
      <c r="Y10" s="10"/>
      <c r="Z10" s="10"/>
      <c r="AA10" s="10"/>
      <c r="AB10" s="10"/>
    </row>
    <row r="11">
      <c r="A11" s="15"/>
      <c r="B11" s="16"/>
      <c r="C11" s="17" t="s">
        <v>24</v>
      </c>
      <c r="D11" s="17" t="s">
        <v>23</v>
      </c>
      <c r="E11" s="18">
        <v>5.0</v>
      </c>
      <c r="F11" s="18">
        <v>10.0</v>
      </c>
      <c r="G11" s="18">
        <v>9.0</v>
      </c>
      <c r="H11" s="18">
        <v>9.0</v>
      </c>
      <c r="I11" s="18">
        <v>12.0</v>
      </c>
      <c r="J11" s="18">
        <v>12.0</v>
      </c>
      <c r="K11" s="19">
        <v>11.0</v>
      </c>
      <c r="L11" s="18">
        <v>7.0</v>
      </c>
      <c r="M11" s="18">
        <v>14.0</v>
      </c>
      <c r="N11" s="18">
        <v>15.0</v>
      </c>
      <c r="O11" s="18">
        <v>15.0</v>
      </c>
      <c r="P11" s="20">
        <v>25.0</v>
      </c>
      <c r="Q11" s="20">
        <v>8.0</v>
      </c>
      <c r="R11" s="18">
        <v>6.0</v>
      </c>
      <c r="S11" s="13">
        <f t="shared" si="1"/>
        <v>158</v>
      </c>
      <c r="T11" s="14">
        <f t="shared" si="2"/>
        <v>0.07431796802</v>
      </c>
      <c r="U11" s="10"/>
      <c r="V11" s="10"/>
      <c r="W11" s="10"/>
      <c r="X11" s="10"/>
      <c r="Y11" s="10"/>
      <c r="Z11" s="10"/>
      <c r="AA11" s="10"/>
      <c r="AB11" s="10"/>
    </row>
    <row r="12">
      <c r="A12" s="15"/>
      <c r="B12" s="16"/>
      <c r="C12" s="21" t="s">
        <v>23</v>
      </c>
      <c r="D12" s="21" t="s">
        <v>24</v>
      </c>
      <c r="E12" s="18">
        <v>16.0</v>
      </c>
      <c r="F12" s="18">
        <v>12.0</v>
      </c>
      <c r="G12" s="18">
        <v>11.0</v>
      </c>
      <c r="H12" s="18">
        <v>8.0</v>
      </c>
      <c r="I12" s="18">
        <v>8.0</v>
      </c>
      <c r="J12" s="18">
        <v>17.0</v>
      </c>
      <c r="K12" s="22">
        <v>13.0</v>
      </c>
      <c r="L12" s="18">
        <v>15.0</v>
      </c>
      <c r="M12" s="18">
        <v>13.0</v>
      </c>
      <c r="N12" s="18">
        <v>19.0</v>
      </c>
      <c r="O12" s="18">
        <v>14.0</v>
      </c>
      <c r="P12" s="20">
        <v>1.0</v>
      </c>
      <c r="Q12" s="20">
        <v>5.0</v>
      </c>
      <c r="R12" s="18">
        <v>11.0</v>
      </c>
      <c r="S12" s="13">
        <f t="shared" si="1"/>
        <v>163</v>
      </c>
      <c r="T12" s="14">
        <f t="shared" si="2"/>
        <v>0.07666980245</v>
      </c>
      <c r="U12" s="10"/>
      <c r="V12" s="10"/>
      <c r="W12" s="10"/>
      <c r="X12" s="10"/>
      <c r="Y12" s="10"/>
      <c r="Z12" s="10"/>
      <c r="AA12" s="10"/>
      <c r="AB12" s="10"/>
    </row>
    <row r="13">
      <c r="A13" s="15"/>
      <c r="B13" s="16"/>
      <c r="C13" s="17" t="s">
        <v>23</v>
      </c>
      <c r="D13" s="17" t="s">
        <v>25</v>
      </c>
      <c r="E13" s="18">
        <v>2.0</v>
      </c>
      <c r="F13" s="18">
        <v>3.0</v>
      </c>
      <c r="G13" s="18">
        <v>0.0</v>
      </c>
      <c r="H13" s="18">
        <v>4.0</v>
      </c>
      <c r="I13" s="18">
        <v>3.0</v>
      </c>
      <c r="J13" s="18">
        <v>1.0</v>
      </c>
      <c r="K13" s="19">
        <v>2.0</v>
      </c>
      <c r="L13" s="18">
        <v>7.0</v>
      </c>
      <c r="M13" s="18">
        <v>5.0</v>
      </c>
      <c r="N13" s="18">
        <v>15.0</v>
      </c>
      <c r="O13" s="18">
        <v>15.0</v>
      </c>
      <c r="P13" s="20">
        <v>15.0</v>
      </c>
      <c r="Q13" s="20">
        <v>3.0</v>
      </c>
      <c r="R13" s="18">
        <v>1.0</v>
      </c>
      <c r="S13" s="13">
        <f t="shared" si="1"/>
        <v>76</v>
      </c>
      <c r="T13" s="14">
        <f t="shared" si="2"/>
        <v>0.03574788335</v>
      </c>
      <c r="U13" s="10"/>
      <c r="V13" s="10"/>
      <c r="W13" s="10"/>
      <c r="X13" s="10"/>
      <c r="Y13" s="10"/>
      <c r="Z13" s="10"/>
      <c r="AA13" s="10"/>
      <c r="AB13" s="10"/>
    </row>
    <row r="14">
      <c r="A14" s="15"/>
      <c r="B14" s="16"/>
      <c r="C14" s="21" t="s">
        <v>23</v>
      </c>
      <c r="D14" s="21" t="s">
        <v>22</v>
      </c>
      <c r="E14" s="18">
        <v>5.0</v>
      </c>
      <c r="F14" s="18">
        <v>20.0</v>
      </c>
      <c r="G14" s="18">
        <v>15.0</v>
      </c>
      <c r="H14" s="18">
        <v>14.0</v>
      </c>
      <c r="I14" s="18">
        <v>7.0</v>
      </c>
      <c r="J14" s="18">
        <v>16.0</v>
      </c>
      <c r="K14" s="22">
        <v>6.0</v>
      </c>
      <c r="L14" s="18">
        <v>9.0</v>
      </c>
      <c r="M14" s="18">
        <v>14.0</v>
      </c>
      <c r="N14" s="18">
        <v>20.0</v>
      </c>
      <c r="O14" s="18">
        <v>23.0</v>
      </c>
      <c r="P14" s="20">
        <v>16.0</v>
      </c>
      <c r="Q14" s="20">
        <v>12.0</v>
      </c>
      <c r="R14" s="18">
        <v>7.0</v>
      </c>
      <c r="S14" s="13">
        <f t="shared" si="1"/>
        <v>184</v>
      </c>
      <c r="T14" s="14">
        <f t="shared" si="2"/>
        <v>0.08654750706</v>
      </c>
      <c r="U14" s="10"/>
      <c r="V14" s="10"/>
      <c r="W14" s="10"/>
      <c r="X14" s="10"/>
      <c r="Y14" s="10"/>
      <c r="Z14" s="10"/>
      <c r="AA14" s="10"/>
      <c r="AB14" s="10"/>
    </row>
    <row r="15">
      <c r="A15" s="8"/>
      <c r="B15" s="11"/>
      <c r="C15" s="12"/>
      <c r="D15" s="12" t="s">
        <v>20</v>
      </c>
      <c r="E15" s="13">
        <f t="shared" ref="E15:R15" si="3">SUM(E3:E14)</f>
        <v>125</v>
      </c>
      <c r="F15" s="13">
        <f t="shared" si="3"/>
        <v>153</v>
      </c>
      <c r="G15" s="13">
        <f t="shared" si="3"/>
        <v>165</v>
      </c>
      <c r="H15" s="13">
        <f t="shared" si="3"/>
        <v>130</v>
      </c>
      <c r="I15" s="13">
        <f t="shared" si="3"/>
        <v>144</v>
      </c>
      <c r="J15" s="13">
        <f t="shared" si="3"/>
        <v>147</v>
      </c>
      <c r="K15" s="13">
        <f t="shared" si="3"/>
        <v>120</v>
      </c>
      <c r="L15" s="13">
        <f t="shared" si="3"/>
        <v>146</v>
      </c>
      <c r="M15" s="13">
        <f t="shared" si="3"/>
        <v>138</v>
      </c>
      <c r="N15" s="13">
        <f t="shared" si="3"/>
        <v>183</v>
      </c>
      <c r="O15" s="13">
        <f t="shared" si="3"/>
        <v>207</v>
      </c>
      <c r="P15" s="13">
        <f t="shared" si="3"/>
        <v>244</v>
      </c>
      <c r="Q15" s="13">
        <f t="shared" si="3"/>
        <v>135</v>
      </c>
      <c r="R15" s="13">
        <f t="shared" si="3"/>
        <v>89</v>
      </c>
      <c r="S15" s="13">
        <f>SUM(S$3:S$14)</f>
        <v>2126</v>
      </c>
      <c r="T15" s="14"/>
      <c r="U15" s="10"/>
      <c r="V15" s="10"/>
      <c r="W15" s="10"/>
      <c r="X15" s="10"/>
      <c r="Y15" s="10"/>
      <c r="Z15" s="10"/>
      <c r="AA15" s="10"/>
      <c r="AB15" s="10"/>
    </row>
    <row r="16">
      <c r="A16" s="23"/>
      <c r="B16" s="23"/>
      <c r="C16" s="24"/>
      <c r="D16" s="24" t="s">
        <v>26</v>
      </c>
      <c r="E16" s="25">
        <f t="shared" ref="E16:R16" si="4">E15/$S$15</f>
        <v>0.05879586077</v>
      </c>
      <c r="F16" s="25">
        <f t="shared" si="4"/>
        <v>0.07196613358</v>
      </c>
      <c r="G16" s="25">
        <f t="shared" si="4"/>
        <v>0.07761053622</v>
      </c>
      <c r="H16" s="25">
        <f t="shared" si="4"/>
        <v>0.0611476952</v>
      </c>
      <c r="I16" s="25">
        <f t="shared" si="4"/>
        <v>0.06773283161</v>
      </c>
      <c r="J16" s="25">
        <f t="shared" si="4"/>
        <v>0.06914393227</v>
      </c>
      <c r="K16" s="25">
        <f t="shared" si="4"/>
        <v>0.05644402634</v>
      </c>
      <c r="L16" s="25">
        <f t="shared" si="4"/>
        <v>0.06867356538</v>
      </c>
      <c r="M16" s="25">
        <f t="shared" si="4"/>
        <v>0.06491063029</v>
      </c>
      <c r="N16" s="25">
        <f t="shared" si="4"/>
        <v>0.08607714017</v>
      </c>
      <c r="O16" s="25">
        <f t="shared" si="4"/>
        <v>0.09736594544</v>
      </c>
      <c r="P16" s="25">
        <f t="shared" si="4"/>
        <v>0.1147695202</v>
      </c>
      <c r="Q16" s="25">
        <f t="shared" si="4"/>
        <v>0.06349952963</v>
      </c>
      <c r="R16" s="25">
        <f t="shared" si="4"/>
        <v>0.04186265287</v>
      </c>
      <c r="S16" s="25">
        <f>SUM(E16:R16)</f>
        <v>1</v>
      </c>
      <c r="T16" s="14"/>
      <c r="U16" s="10"/>
      <c r="V16" s="10"/>
      <c r="W16" s="10"/>
      <c r="X16" s="10"/>
      <c r="Y16" s="10"/>
      <c r="Z16" s="10"/>
      <c r="AA16" s="10"/>
      <c r="AB16" s="10"/>
    </row>
    <row r="17">
      <c r="A17" s="26"/>
      <c r="B17" s="26"/>
      <c r="C17" s="27"/>
      <c r="D17" s="27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9"/>
      <c r="U17" s="10"/>
      <c r="V17" s="10"/>
      <c r="W17" s="10"/>
      <c r="X17" s="10"/>
      <c r="Y17" s="10"/>
      <c r="Z17" s="10"/>
      <c r="AA17" s="10"/>
      <c r="AB17" s="10"/>
    </row>
    <row r="18">
      <c r="A18" s="8"/>
      <c r="B18" s="8"/>
      <c r="C18" s="30"/>
      <c r="D18" s="9" t="s">
        <v>27</v>
      </c>
      <c r="U18" s="10"/>
      <c r="V18" s="10"/>
      <c r="W18" s="10"/>
      <c r="X18" s="10"/>
      <c r="Y18" s="10"/>
      <c r="Z18" s="10"/>
      <c r="AA18" s="10"/>
      <c r="AB18" s="10"/>
    </row>
    <row r="19">
      <c r="A19" s="8"/>
      <c r="B19" s="8"/>
      <c r="C19" s="31"/>
      <c r="D19" s="12" t="s">
        <v>28</v>
      </c>
      <c r="E19" s="13">
        <v>6.0</v>
      </c>
      <c r="F19" s="13">
        <v>7.0</v>
      </c>
      <c r="G19" s="13">
        <v>8.0</v>
      </c>
      <c r="H19" s="13">
        <v>9.0</v>
      </c>
      <c r="I19" s="13">
        <v>10.0</v>
      </c>
      <c r="J19" s="13">
        <v>11.0</v>
      </c>
      <c r="K19" s="13">
        <v>12.0</v>
      </c>
      <c r="L19" s="13">
        <v>13.0</v>
      </c>
      <c r="M19" s="13">
        <v>14.0</v>
      </c>
      <c r="N19" s="13">
        <v>15.0</v>
      </c>
      <c r="O19" s="13">
        <v>16.0</v>
      </c>
      <c r="P19" s="13">
        <v>17.0</v>
      </c>
      <c r="Q19" s="13">
        <v>18.0</v>
      </c>
      <c r="R19" s="13">
        <v>19.0</v>
      </c>
      <c r="S19" s="13" t="s">
        <v>20</v>
      </c>
      <c r="T19" s="14" t="s">
        <v>21</v>
      </c>
      <c r="U19" s="10"/>
      <c r="V19" s="10"/>
      <c r="W19" s="10"/>
      <c r="X19" s="10"/>
      <c r="Y19" s="10"/>
      <c r="Z19" s="10"/>
      <c r="AA19" s="10"/>
      <c r="AB19" s="10"/>
    </row>
    <row r="20">
      <c r="A20" s="8"/>
      <c r="B20" s="8"/>
      <c r="C20" s="32"/>
      <c r="D20" s="33" t="s">
        <v>9</v>
      </c>
      <c r="E20" s="20">
        <v>8.0</v>
      </c>
      <c r="F20" s="20">
        <v>16.0</v>
      </c>
      <c r="G20" s="20">
        <v>10.0</v>
      </c>
      <c r="H20" s="20">
        <v>7.0</v>
      </c>
      <c r="I20" s="20">
        <v>17.0</v>
      </c>
      <c r="J20" s="20">
        <v>4.0</v>
      </c>
      <c r="K20" s="20">
        <v>10.0</v>
      </c>
      <c r="L20" s="20">
        <v>5.0</v>
      </c>
      <c r="M20" s="20">
        <v>12.0</v>
      </c>
      <c r="N20" s="20">
        <v>14.0</v>
      </c>
      <c r="O20" s="20">
        <v>13.0</v>
      </c>
      <c r="P20" s="20">
        <v>13.0</v>
      </c>
      <c r="Q20" s="20">
        <v>8.0</v>
      </c>
      <c r="R20" s="20">
        <v>5.0</v>
      </c>
      <c r="S20" s="13">
        <f t="shared" ref="S20:S27" si="5">SUM(E20:R20)</f>
        <v>142</v>
      </c>
      <c r="T20" s="14">
        <f t="shared" ref="T20:T27" si="6">S20/$S$15</f>
        <v>0.06679209784</v>
      </c>
      <c r="U20" s="10"/>
      <c r="V20" s="10"/>
      <c r="W20" s="10"/>
      <c r="X20" s="10"/>
      <c r="Y20" s="10"/>
      <c r="Z20" s="10"/>
      <c r="AA20" s="10"/>
      <c r="AB20" s="10"/>
    </row>
    <row r="21">
      <c r="A21" s="8"/>
      <c r="B21" s="8"/>
      <c r="C21" s="32"/>
      <c r="D21" s="33" t="s">
        <v>10</v>
      </c>
      <c r="E21" s="20">
        <v>2.0</v>
      </c>
      <c r="F21" s="20">
        <v>2.0</v>
      </c>
      <c r="G21" s="20">
        <v>0.0</v>
      </c>
      <c r="H21" s="20">
        <v>0.0</v>
      </c>
      <c r="I21" s="20">
        <v>1.0</v>
      </c>
      <c r="J21" s="20">
        <v>0.0</v>
      </c>
      <c r="K21" s="20">
        <v>2.0</v>
      </c>
      <c r="L21" s="20">
        <v>6.0</v>
      </c>
      <c r="M21" s="20">
        <v>3.0</v>
      </c>
      <c r="N21" s="20">
        <v>6.0</v>
      </c>
      <c r="O21" s="20">
        <v>3.0</v>
      </c>
      <c r="P21" s="20">
        <v>6.0</v>
      </c>
      <c r="Q21" s="20">
        <v>1.0</v>
      </c>
      <c r="R21" s="20">
        <v>2.0</v>
      </c>
      <c r="S21" s="13">
        <f t="shared" si="5"/>
        <v>34</v>
      </c>
      <c r="T21" s="14">
        <f t="shared" si="6"/>
        <v>0.01599247413</v>
      </c>
      <c r="U21" s="10"/>
      <c r="V21" s="10"/>
      <c r="W21" s="10"/>
      <c r="X21" s="10"/>
      <c r="Y21" s="10"/>
      <c r="Z21" s="10"/>
      <c r="AA21" s="10"/>
      <c r="AB21" s="10"/>
    </row>
    <row r="22">
      <c r="A22" s="8"/>
      <c r="B22" s="8"/>
      <c r="C22" s="32"/>
      <c r="D22" s="33" t="s">
        <v>11</v>
      </c>
      <c r="E22" s="20">
        <v>30.0</v>
      </c>
      <c r="F22" s="20">
        <v>16.0</v>
      </c>
      <c r="G22" s="20">
        <v>16.0</v>
      </c>
      <c r="H22" s="20">
        <v>5.0</v>
      </c>
      <c r="I22" s="20">
        <v>3.0</v>
      </c>
      <c r="J22" s="20">
        <v>5.0</v>
      </c>
      <c r="K22" s="20">
        <v>4.0</v>
      </c>
      <c r="L22" s="20">
        <v>7.0</v>
      </c>
      <c r="M22" s="20">
        <v>5.0</v>
      </c>
      <c r="N22" s="20">
        <v>8.0</v>
      </c>
      <c r="O22" s="20">
        <v>16.0</v>
      </c>
      <c r="P22" s="20">
        <v>15.0</v>
      </c>
      <c r="Q22" s="20">
        <v>22.0</v>
      </c>
      <c r="R22" s="20">
        <v>23.0</v>
      </c>
      <c r="S22" s="13">
        <f t="shared" si="5"/>
        <v>175</v>
      </c>
      <c r="T22" s="14">
        <f t="shared" si="6"/>
        <v>0.08231420508</v>
      </c>
      <c r="U22" s="10"/>
      <c r="V22" s="10"/>
      <c r="W22" s="10"/>
      <c r="X22" s="10"/>
      <c r="Y22" s="10"/>
      <c r="Z22" s="10"/>
      <c r="AA22" s="10"/>
      <c r="AB22" s="10"/>
    </row>
    <row r="23">
      <c r="A23" s="8"/>
      <c r="B23" s="8"/>
      <c r="C23" s="32"/>
      <c r="D23" s="33" t="s">
        <v>12</v>
      </c>
      <c r="E23" s="33">
        <f t="shared" ref="E23:R23" si="7">SUM(E32:E34)</f>
        <v>2</v>
      </c>
      <c r="F23" s="33">
        <f t="shared" si="7"/>
        <v>7</v>
      </c>
      <c r="G23" s="33">
        <f t="shared" si="7"/>
        <v>6</v>
      </c>
      <c r="H23" s="33">
        <f t="shared" si="7"/>
        <v>5</v>
      </c>
      <c r="I23" s="33">
        <f t="shared" si="7"/>
        <v>6</v>
      </c>
      <c r="J23" s="33">
        <f t="shared" si="7"/>
        <v>10</v>
      </c>
      <c r="K23" s="33">
        <f t="shared" si="7"/>
        <v>6</v>
      </c>
      <c r="L23" s="33">
        <f t="shared" si="7"/>
        <v>10</v>
      </c>
      <c r="M23" s="33">
        <f t="shared" si="7"/>
        <v>15</v>
      </c>
      <c r="N23" s="33">
        <f t="shared" si="7"/>
        <v>9</v>
      </c>
      <c r="O23" s="33">
        <f t="shared" si="7"/>
        <v>6</v>
      </c>
      <c r="P23" s="33">
        <f t="shared" si="7"/>
        <v>10</v>
      </c>
      <c r="Q23" s="33">
        <f t="shared" si="7"/>
        <v>8</v>
      </c>
      <c r="R23" s="33">
        <f t="shared" si="7"/>
        <v>4</v>
      </c>
      <c r="S23" s="13">
        <f t="shared" si="5"/>
        <v>104</v>
      </c>
      <c r="T23" s="14">
        <f t="shared" si="6"/>
        <v>0.04891815616</v>
      </c>
      <c r="U23" s="10"/>
      <c r="V23" s="10"/>
      <c r="W23" s="10"/>
      <c r="X23" s="10"/>
      <c r="Y23" s="10"/>
      <c r="Z23" s="10"/>
      <c r="AA23" s="10"/>
      <c r="AB23" s="10"/>
    </row>
    <row r="24">
      <c r="A24" s="8"/>
      <c r="B24" s="8"/>
      <c r="C24" s="32"/>
      <c r="D24" s="33" t="s">
        <v>13</v>
      </c>
      <c r="E24" s="33">
        <f t="shared" ref="E24:R24" si="8">SUM(E35:E36)</f>
        <v>27</v>
      </c>
      <c r="F24" s="33">
        <f t="shared" si="8"/>
        <v>28</v>
      </c>
      <c r="G24" s="33">
        <f t="shared" si="8"/>
        <v>30</v>
      </c>
      <c r="H24" s="33">
        <f t="shared" si="8"/>
        <v>37</v>
      </c>
      <c r="I24" s="33">
        <f t="shared" si="8"/>
        <v>49</v>
      </c>
      <c r="J24" s="33">
        <f t="shared" si="8"/>
        <v>25</v>
      </c>
      <c r="K24" s="33">
        <f t="shared" si="8"/>
        <v>16</v>
      </c>
      <c r="L24" s="33">
        <f t="shared" si="8"/>
        <v>26</v>
      </c>
      <c r="M24" s="33">
        <f t="shared" si="8"/>
        <v>31</v>
      </c>
      <c r="N24" s="33">
        <f t="shared" si="8"/>
        <v>34</v>
      </c>
      <c r="O24" s="33">
        <f t="shared" si="8"/>
        <v>37</v>
      </c>
      <c r="P24" s="33">
        <f t="shared" si="8"/>
        <v>30</v>
      </c>
      <c r="Q24" s="33">
        <f t="shared" si="8"/>
        <v>40</v>
      </c>
      <c r="R24" s="33">
        <f t="shared" si="8"/>
        <v>11</v>
      </c>
      <c r="S24" s="13">
        <f t="shared" si="5"/>
        <v>421</v>
      </c>
      <c r="T24" s="14">
        <f t="shared" si="6"/>
        <v>0.1980244591</v>
      </c>
      <c r="U24" s="10"/>
      <c r="V24" s="10"/>
      <c r="W24" s="10"/>
      <c r="X24" s="10"/>
      <c r="Y24" s="10"/>
      <c r="Z24" s="10"/>
      <c r="AA24" s="10"/>
      <c r="AB24" s="10"/>
    </row>
    <row r="25">
      <c r="A25" s="8"/>
      <c r="B25" s="8"/>
      <c r="C25" s="32"/>
      <c r="D25" s="33" t="s">
        <v>14</v>
      </c>
      <c r="E25" s="33">
        <f t="shared" ref="E25:R25" si="9">SUM(E37:E38)</f>
        <v>1</v>
      </c>
      <c r="F25" s="33">
        <f t="shared" si="9"/>
        <v>2</v>
      </c>
      <c r="G25" s="33">
        <f t="shared" si="9"/>
        <v>3</v>
      </c>
      <c r="H25" s="33">
        <f t="shared" si="9"/>
        <v>3</v>
      </c>
      <c r="I25" s="33">
        <f t="shared" si="9"/>
        <v>1</v>
      </c>
      <c r="J25" s="33">
        <f t="shared" si="9"/>
        <v>6</v>
      </c>
      <c r="K25" s="33">
        <f t="shared" si="9"/>
        <v>14</v>
      </c>
      <c r="L25" s="33">
        <f t="shared" si="9"/>
        <v>11</v>
      </c>
      <c r="M25" s="33">
        <f t="shared" si="9"/>
        <v>2</v>
      </c>
      <c r="N25" s="33">
        <f t="shared" si="9"/>
        <v>5</v>
      </c>
      <c r="O25" s="33">
        <f t="shared" si="9"/>
        <v>5</v>
      </c>
      <c r="P25" s="33">
        <f t="shared" si="9"/>
        <v>1</v>
      </c>
      <c r="Q25" s="33">
        <f t="shared" si="9"/>
        <v>5</v>
      </c>
      <c r="R25" s="33">
        <f t="shared" si="9"/>
        <v>5</v>
      </c>
      <c r="S25" s="13">
        <f t="shared" si="5"/>
        <v>64</v>
      </c>
      <c r="T25" s="14">
        <f t="shared" si="6"/>
        <v>0.03010348071</v>
      </c>
      <c r="U25" s="10"/>
      <c r="V25" s="10"/>
      <c r="W25" s="10"/>
      <c r="X25" s="10"/>
      <c r="Y25" s="10"/>
      <c r="Z25" s="10"/>
      <c r="AA25" s="10"/>
      <c r="AB25" s="10"/>
    </row>
    <row r="26">
      <c r="A26" s="8"/>
      <c r="B26" s="8"/>
      <c r="C26" s="32"/>
      <c r="D26" s="33" t="s">
        <v>15</v>
      </c>
      <c r="E26" s="33">
        <f t="shared" ref="E26:R26" si="10">SUM(E39:E40)</f>
        <v>23</v>
      </c>
      <c r="F26" s="33">
        <f t="shared" si="10"/>
        <v>54</v>
      </c>
      <c r="G26" s="33">
        <f t="shared" si="10"/>
        <v>12</v>
      </c>
      <c r="H26" s="33">
        <f t="shared" si="10"/>
        <v>15</v>
      </c>
      <c r="I26" s="33">
        <f t="shared" si="10"/>
        <v>18</v>
      </c>
      <c r="J26" s="33">
        <f t="shared" si="10"/>
        <v>35</v>
      </c>
      <c r="K26" s="33">
        <f t="shared" si="10"/>
        <v>19</v>
      </c>
      <c r="L26" s="33">
        <f t="shared" si="10"/>
        <v>19</v>
      </c>
      <c r="M26" s="33">
        <f t="shared" si="10"/>
        <v>16</v>
      </c>
      <c r="N26" s="33">
        <f t="shared" si="10"/>
        <v>29</v>
      </c>
      <c r="O26" s="33">
        <f t="shared" si="10"/>
        <v>27</v>
      </c>
      <c r="P26" s="33">
        <f t="shared" si="10"/>
        <v>27</v>
      </c>
      <c r="Q26" s="33">
        <f t="shared" si="10"/>
        <v>25</v>
      </c>
      <c r="R26" s="33">
        <f t="shared" si="10"/>
        <v>18</v>
      </c>
      <c r="S26" s="13">
        <f t="shared" si="5"/>
        <v>337</v>
      </c>
      <c r="T26" s="14">
        <f t="shared" si="6"/>
        <v>0.1585136406</v>
      </c>
      <c r="U26" s="10"/>
      <c r="V26" s="10"/>
      <c r="W26" s="10"/>
      <c r="X26" s="10"/>
      <c r="Y26" s="10"/>
      <c r="Z26" s="10"/>
      <c r="AA26" s="10"/>
      <c r="AB26" s="10"/>
    </row>
    <row r="27">
      <c r="A27" s="8"/>
      <c r="B27" s="8"/>
      <c r="C27" s="32"/>
      <c r="D27" s="33" t="s">
        <v>16</v>
      </c>
      <c r="E27" s="20">
        <v>5.0</v>
      </c>
      <c r="F27" s="20">
        <v>26.0</v>
      </c>
      <c r="G27" s="20">
        <v>18.0</v>
      </c>
      <c r="H27" s="20">
        <v>20.0</v>
      </c>
      <c r="I27" s="20">
        <v>20.0</v>
      </c>
      <c r="J27" s="20">
        <v>20.0</v>
      </c>
      <c r="K27" s="20">
        <v>22.0</v>
      </c>
      <c r="L27" s="20">
        <v>22.0</v>
      </c>
      <c r="M27" s="20">
        <v>16.0</v>
      </c>
      <c r="N27" s="20">
        <v>21.0</v>
      </c>
      <c r="O27" s="20">
        <v>25.0</v>
      </c>
      <c r="P27" s="20">
        <v>23.0</v>
      </c>
      <c r="Q27" s="20">
        <v>24.0</v>
      </c>
      <c r="R27" s="20">
        <v>16.0</v>
      </c>
      <c r="S27" s="13">
        <f t="shared" si="5"/>
        <v>278</v>
      </c>
      <c r="T27" s="14">
        <f t="shared" si="6"/>
        <v>0.1307619944</v>
      </c>
      <c r="U27" s="10"/>
      <c r="V27" s="10"/>
      <c r="W27" s="10"/>
      <c r="X27" s="10"/>
      <c r="Y27" s="10"/>
      <c r="Z27" s="10"/>
      <c r="AA27" s="10"/>
      <c r="AB27" s="10"/>
    </row>
    <row r="28">
      <c r="A28" s="8"/>
      <c r="B28" s="8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10"/>
      <c r="V28" s="10"/>
      <c r="W28" s="10"/>
      <c r="X28" s="10"/>
      <c r="Y28" s="10"/>
      <c r="Z28" s="10"/>
      <c r="AA28" s="10"/>
      <c r="AB28" s="10"/>
    </row>
    <row r="29">
      <c r="A29" s="34"/>
      <c r="B29" s="34"/>
      <c r="C29" s="35"/>
      <c r="D29" s="35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7"/>
      <c r="U29" s="10"/>
      <c r="V29" s="10"/>
      <c r="W29" s="10"/>
      <c r="X29" s="10"/>
      <c r="Y29" s="10"/>
      <c r="Z29" s="10"/>
      <c r="AA29" s="10"/>
      <c r="AB29" s="10"/>
    </row>
    <row r="30">
      <c r="A30" s="8"/>
      <c r="B30" s="8"/>
      <c r="C30" s="8"/>
      <c r="D30" s="9" t="s">
        <v>29</v>
      </c>
      <c r="U30" s="10"/>
      <c r="V30" s="10"/>
      <c r="W30" s="10"/>
      <c r="X30" s="10"/>
      <c r="Y30" s="10"/>
      <c r="Z30" s="10"/>
      <c r="AA30" s="10"/>
      <c r="AB30" s="10"/>
    </row>
    <row r="31">
      <c r="A31" s="8"/>
      <c r="B31" s="8"/>
      <c r="C31" s="31"/>
      <c r="D31" s="12" t="s">
        <v>28</v>
      </c>
      <c r="E31" s="13">
        <v>6.0</v>
      </c>
      <c r="F31" s="13">
        <v>7.0</v>
      </c>
      <c r="G31" s="13">
        <v>8.0</v>
      </c>
      <c r="H31" s="13">
        <v>9.0</v>
      </c>
      <c r="I31" s="13">
        <v>10.0</v>
      </c>
      <c r="J31" s="13">
        <v>11.0</v>
      </c>
      <c r="K31" s="13">
        <v>12.0</v>
      </c>
      <c r="L31" s="13">
        <v>13.0</v>
      </c>
      <c r="M31" s="13">
        <v>14.0</v>
      </c>
      <c r="N31" s="13">
        <v>15.0</v>
      </c>
      <c r="O31" s="13">
        <v>16.0</v>
      </c>
      <c r="P31" s="13">
        <v>17.0</v>
      </c>
      <c r="Q31" s="13">
        <v>18.0</v>
      </c>
      <c r="R31" s="13">
        <v>19.0</v>
      </c>
      <c r="S31" s="13" t="s">
        <v>20</v>
      </c>
      <c r="T31" s="14" t="s">
        <v>21</v>
      </c>
      <c r="U31" s="10"/>
      <c r="V31" s="10"/>
      <c r="W31" s="10"/>
      <c r="X31" s="10"/>
      <c r="Y31" s="10"/>
      <c r="Z31" s="10"/>
      <c r="AA31" s="10"/>
      <c r="AB31" s="10"/>
    </row>
    <row r="32">
      <c r="A32" s="8"/>
      <c r="B32" s="8"/>
      <c r="C32" s="32"/>
      <c r="D32" s="38" t="s">
        <v>30</v>
      </c>
      <c r="E32" s="39">
        <v>0.0</v>
      </c>
      <c r="F32" s="40">
        <v>2.0</v>
      </c>
      <c r="G32" s="39">
        <v>1.0</v>
      </c>
      <c r="H32" s="39">
        <v>1.0</v>
      </c>
      <c r="I32" s="39">
        <v>2.0</v>
      </c>
      <c r="J32" s="39">
        <v>4.0</v>
      </c>
      <c r="K32" s="39">
        <v>4.0</v>
      </c>
      <c r="L32" s="39">
        <v>3.0</v>
      </c>
      <c r="M32" s="39">
        <v>5.0</v>
      </c>
      <c r="N32" s="39">
        <v>3.0</v>
      </c>
      <c r="O32" s="39">
        <v>3.0</v>
      </c>
      <c r="P32" s="39">
        <v>5.0</v>
      </c>
      <c r="Q32" s="39">
        <v>2.0</v>
      </c>
      <c r="R32" s="39">
        <v>1.0</v>
      </c>
      <c r="S32" s="13">
        <f t="shared" ref="S32:S50" si="11">SUM(E32:R32)</f>
        <v>36</v>
      </c>
      <c r="T32" s="14">
        <f t="shared" ref="T32:T50" si="12">S32/$S$15</f>
        <v>0.0169332079</v>
      </c>
      <c r="U32" s="10"/>
      <c r="V32" s="10"/>
      <c r="W32" s="10"/>
      <c r="X32" s="10"/>
      <c r="Y32" s="10"/>
      <c r="Z32" s="10"/>
      <c r="AA32" s="10"/>
      <c r="AB32" s="10"/>
    </row>
    <row r="33">
      <c r="A33" s="8"/>
      <c r="B33" s="8"/>
      <c r="C33" s="32"/>
      <c r="D33" s="33" t="s">
        <v>31</v>
      </c>
      <c r="E33" s="20">
        <v>2.0</v>
      </c>
      <c r="F33" s="20">
        <v>3.0</v>
      </c>
      <c r="G33" s="20">
        <v>4.0</v>
      </c>
      <c r="H33" s="20">
        <v>2.0</v>
      </c>
      <c r="I33" s="20">
        <v>4.0</v>
      </c>
      <c r="J33" s="20">
        <v>2.0</v>
      </c>
      <c r="K33" s="20">
        <v>2.0</v>
      </c>
      <c r="L33" s="20">
        <v>7.0</v>
      </c>
      <c r="M33" s="20">
        <v>4.0</v>
      </c>
      <c r="N33" s="20">
        <v>2.0</v>
      </c>
      <c r="O33" s="20">
        <v>3.0</v>
      </c>
      <c r="P33" s="20">
        <v>4.0</v>
      </c>
      <c r="Q33" s="20">
        <v>6.0</v>
      </c>
      <c r="R33" s="20">
        <v>3.0</v>
      </c>
      <c r="S33" s="13">
        <f t="shared" si="11"/>
        <v>48</v>
      </c>
      <c r="T33" s="14">
        <f t="shared" si="12"/>
        <v>0.02257761054</v>
      </c>
      <c r="U33" s="10"/>
      <c r="V33" s="10"/>
      <c r="W33" s="10"/>
      <c r="X33" s="10"/>
      <c r="Y33" s="10"/>
      <c r="Z33" s="10"/>
      <c r="AA33" s="10"/>
      <c r="AB33" s="10"/>
    </row>
    <row r="34">
      <c r="A34" s="8"/>
      <c r="B34" s="8"/>
      <c r="C34" s="32"/>
      <c r="D34" s="38" t="s">
        <v>32</v>
      </c>
      <c r="E34" s="39">
        <v>0.0</v>
      </c>
      <c r="F34" s="39">
        <v>2.0</v>
      </c>
      <c r="G34" s="39">
        <v>1.0</v>
      </c>
      <c r="H34" s="39">
        <v>2.0</v>
      </c>
      <c r="I34" s="39">
        <v>0.0</v>
      </c>
      <c r="J34" s="39">
        <v>4.0</v>
      </c>
      <c r="K34" s="39">
        <v>0.0</v>
      </c>
      <c r="L34" s="39">
        <v>0.0</v>
      </c>
      <c r="M34" s="39">
        <v>6.0</v>
      </c>
      <c r="N34" s="39">
        <v>4.0</v>
      </c>
      <c r="O34" s="39">
        <v>0.0</v>
      </c>
      <c r="P34" s="39">
        <v>1.0</v>
      </c>
      <c r="Q34" s="39">
        <v>0.0</v>
      </c>
      <c r="R34" s="39">
        <v>0.0</v>
      </c>
      <c r="S34" s="13">
        <f t="shared" si="11"/>
        <v>20</v>
      </c>
      <c r="T34" s="14">
        <f t="shared" si="12"/>
        <v>0.009407337723</v>
      </c>
      <c r="U34" s="10"/>
      <c r="V34" s="10"/>
      <c r="W34" s="10"/>
      <c r="X34" s="10"/>
      <c r="Y34" s="10"/>
      <c r="Z34" s="10"/>
      <c r="AA34" s="10"/>
      <c r="AB34" s="10"/>
    </row>
    <row r="35">
      <c r="A35" s="8"/>
      <c r="B35" s="8"/>
      <c r="C35" s="32"/>
      <c r="D35" s="33" t="s">
        <v>33</v>
      </c>
      <c r="E35" s="20">
        <v>7.0</v>
      </c>
      <c r="F35" s="20">
        <v>11.0</v>
      </c>
      <c r="G35" s="20">
        <v>15.0</v>
      </c>
      <c r="H35" s="20">
        <v>21.0</v>
      </c>
      <c r="I35" s="20">
        <v>18.0</v>
      </c>
      <c r="J35" s="20">
        <v>19.0</v>
      </c>
      <c r="K35" s="20">
        <v>5.0</v>
      </c>
      <c r="L35" s="20">
        <v>12.0</v>
      </c>
      <c r="M35" s="20">
        <v>14.0</v>
      </c>
      <c r="N35" s="20">
        <v>21.0</v>
      </c>
      <c r="O35" s="20">
        <v>23.0</v>
      </c>
      <c r="P35" s="20">
        <v>13.0</v>
      </c>
      <c r="Q35" s="20">
        <v>19.0</v>
      </c>
      <c r="R35" s="20">
        <v>8.0</v>
      </c>
      <c r="S35" s="13">
        <f t="shared" si="11"/>
        <v>206</v>
      </c>
      <c r="T35" s="14">
        <f t="shared" si="12"/>
        <v>0.09689557855</v>
      </c>
      <c r="U35" s="10"/>
      <c r="V35" s="10"/>
      <c r="W35" s="10"/>
      <c r="X35" s="10"/>
      <c r="Y35" s="10"/>
      <c r="Z35" s="10"/>
      <c r="AA35" s="10"/>
      <c r="AB35" s="10"/>
    </row>
    <row r="36">
      <c r="A36" s="8"/>
      <c r="B36" s="8"/>
      <c r="C36" s="32"/>
      <c r="D36" s="38" t="s">
        <v>34</v>
      </c>
      <c r="E36" s="39">
        <v>20.0</v>
      </c>
      <c r="F36" s="40">
        <v>17.0</v>
      </c>
      <c r="G36" s="39">
        <v>15.0</v>
      </c>
      <c r="H36" s="39">
        <v>16.0</v>
      </c>
      <c r="I36" s="39">
        <v>31.0</v>
      </c>
      <c r="J36" s="39">
        <v>6.0</v>
      </c>
      <c r="K36" s="39">
        <v>11.0</v>
      </c>
      <c r="L36" s="39">
        <v>14.0</v>
      </c>
      <c r="M36" s="39">
        <v>17.0</v>
      </c>
      <c r="N36" s="39">
        <v>13.0</v>
      </c>
      <c r="O36" s="39">
        <v>14.0</v>
      </c>
      <c r="P36" s="39">
        <v>17.0</v>
      </c>
      <c r="Q36" s="39">
        <v>21.0</v>
      </c>
      <c r="R36" s="39">
        <v>3.0</v>
      </c>
      <c r="S36" s="13">
        <f t="shared" si="11"/>
        <v>215</v>
      </c>
      <c r="T36" s="14">
        <f t="shared" si="12"/>
        <v>0.1011288805</v>
      </c>
      <c r="U36" s="10"/>
      <c r="V36" s="10"/>
      <c r="W36" s="10"/>
      <c r="X36" s="10"/>
      <c r="Y36" s="10"/>
      <c r="Z36" s="10"/>
      <c r="AA36" s="10"/>
      <c r="AB36" s="10"/>
    </row>
    <row r="37">
      <c r="A37" s="8"/>
      <c r="B37" s="8"/>
      <c r="C37" s="32"/>
      <c r="D37" s="33" t="s">
        <v>14</v>
      </c>
      <c r="E37" s="20">
        <v>1.0</v>
      </c>
      <c r="F37" s="20">
        <v>2.0</v>
      </c>
      <c r="G37" s="20">
        <v>0.0</v>
      </c>
      <c r="H37" s="20">
        <v>3.0</v>
      </c>
      <c r="I37" s="20">
        <v>1.0</v>
      </c>
      <c r="J37" s="20">
        <v>2.0</v>
      </c>
      <c r="K37" s="20">
        <v>1.0</v>
      </c>
      <c r="L37" s="20">
        <v>3.0</v>
      </c>
      <c r="M37" s="20">
        <v>2.0</v>
      </c>
      <c r="N37" s="20">
        <v>3.0</v>
      </c>
      <c r="O37" s="20">
        <v>2.0</v>
      </c>
      <c r="P37" s="20">
        <v>1.0</v>
      </c>
      <c r="Q37" s="20">
        <v>2.0</v>
      </c>
      <c r="R37" s="20">
        <v>1.0</v>
      </c>
      <c r="S37" s="13">
        <f t="shared" si="11"/>
        <v>24</v>
      </c>
      <c r="T37" s="14">
        <f t="shared" si="12"/>
        <v>0.01128880527</v>
      </c>
      <c r="U37" s="10"/>
      <c r="V37" s="10"/>
      <c r="W37" s="10"/>
      <c r="X37" s="10"/>
      <c r="Y37" s="10"/>
      <c r="Z37" s="10"/>
      <c r="AA37" s="10"/>
      <c r="AB37" s="10"/>
    </row>
    <row r="38">
      <c r="A38" s="8"/>
      <c r="B38" s="8"/>
      <c r="C38" s="32"/>
      <c r="D38" s="38" t="s">
        <v>35</v>
      </c>
      <c r="E38" s="39">
        <v>0.0</v>
      </c>
      <c r="F38" s="40">
        <v>0.0</v>
      </c>
      <c r="G38" s="39">
        <v>3.0</v>
      </c>
      <c r="H38" s="39">
        <v>0.0</v>
      </c>
      <c r="I38" s="39">
        <v>0.0</v>
      </c>
      <c r="J38" s="39">
        <v>4.0</v>
      </c>
      <c r="K38" s="39">
        <v>13.0</v>
      </c>
      <c r="L38" s="39">
        <v>8.0</v>
      </c>
      <c r="M38" s="39">
        <v>0.0</v>
      </c>
      <c r="N38" s="39">
        <v>2.0</v>
      </c>
      <c r="O38" s="39">
        <v>3.0</v>
      </c>
      <c r="P38" s="39">
        <v>0.0</v>
      </c>
      <c r="Q38" s="39">
        <v>3.0</v>
      </c>
      <c r="R38" s="39">
        <v>4.0</v>
      </c>
      <c r="S38" s="13">
        <f t="shared" si="11"/>
        <v>40</v>
      </c>
      <c r="T38" s="14">
        <f t="shared" si="12"/>
        <v>0.01881467545</v>
      </c>
      <c r="U38" s="10"/>
      <c r="V38" s="10"/>
      <c r="W38" s="10"/>
      <c r="X38" s="10"/>
      <c r="Y38" s="10"/>
      <c r="Z38" s="10"/>
      <c r="AA38" s="10"/>
      <c r="AB38" s="10"/>
    </row>
    <row r="39">
      <c r="A39" s="8"/>
      <c r="B39" s="8"/>
      <c r="C39" s="32"/>
      <c r="D39" s="33" t="s">
        <v>15</v>
      </c>
      <c r="E39" s="20">
        <v>19.0</v>
      </c>
      <c r="F39" s="41">
        <v>51.0</v>
      </c>
      <c r="G39" s="20">
        <v>7.0</v>
      </c>
      <c r="H39" s="20">
        <v>12.0</v>
      </c>
      <c r="I39" s="20">
        <v>15.0</v>
      </c>
      <c r="J39" s="20">
        <v>32.0</v>
      </c>
      <c r="K39" s="20">
        <v>15.0</v>
      </c>
      <c r="L39" s="20">
        <v>12.0</v>
      </c>
      <c r="M39" s="20">
        <v>13.0</v>
      </c>
      <c r="N39" s="20">
        <v>29.0</v>
      </c>
      <c r="O39" s="20">
        <v>27.0</v>
      </c>
      <c r="P39" s="20">
        <v>27.0</v>
      </c>
      <c r="Q39" s="20">
        <v>25.0</v>
      </c>
      <c r="R39" s="20">
        <v>16.0</v>
      </c>
      <c r="S39" s="13">
        <f t="shared" si="11"/>
        <v>300</v>
      </c>
      <c r="T39" s="14">
        <f t="shared" si="12"/>
        <v>0.1411100659</v>
      </c>
      <c r="U39" s="10"/>
      <c r="V39" s="10"/>
      <c r="W39" s="10"/>
      <c r="X39" s="10"/>
      <c r="Y39" s="10"/>
      <c r="Z39" s="10"/>
      <c r="AA39" s="10"/>
      <c r="AB39" s="10"/>
    </row>
    <row r="40">
      <c r="A40" s="8"/>
      <c r="B40" s="8"/>
      <c r="C40" s="32"/>
      <c r="D40" s="33" t="s">
        <v>36</v>
      </c>
      <c r="E40" s="20">
        <v>4.0</v>
      </c>
      <c r="F40" s="20">
        <v>3.0</v>
      </c>
      <c r="G40" s="20">
        <v>5.0</v>
      </c>
      <c r="H40" s="20">
        <v>3.0</v>
      </c>
      <c r="I40" s="20">
        <v>3.0</v>
      </c>
      <c r="J40" s="20">
        <v>3.0</v>
      </c>
      <c r="K40" s="20">
        <v>4.0</v>
      </c>
      <c r="L40" s="20">
        <v>7.0</v>
      </c>
      <c r="M40" s="20">
        <v>3.0</v>
      </c>
      <c r="N40" s="20">
        <v>0.0</v>
      </c>
      <c r="O40" s="20">
        <v>0.0</v>
      </c>
      <c r="P40" s="20">
        <v>0.0</v>
      </c>
      <c r="Q40" s="20">
        <v>0.0</v>
      </c>
      <c r="R40" s="20">
        <v>2.0</v>
      </c>
      <c r="S40" s="13">
        <f t="shared" si="11"/>
        <v>37</v>
      </c>
      <c r="T40" s="14">
        <f t="shared" si="12"/>
        <v>0.01740357479</v>
      </c>
      <c r="U40" s="10"/>
      <c r="V40" s="10"/>
      <c r="W40" s="10"/>
      <c r="X40" s="10"/>
      <c r="Y40" s="10"/>
      <c r="Z40" s="10"/>
      <c r="AA40" s="10"/>
      <c r="AB40" s="10"/>
    </row>
    <row r="41">
      <c r="A41" s="8"/>
      <c r="B41" s="8"/>
      <c r="C41" s="32"/>
      <c r="D41" s="33" t="s">
        <v>37</v>
      </c>
      <c r="E41" s="20">
        <v>1.0</v>
      </c>
      <c r="F41" s="20">
        <v>2.0</v>
      </c>
      <c r="G41" s="20">
        <v>2.0</v>
      </c>
      <c r="H41" s="20">
        <v>1.0</v>
      </c>
      <c r="I41" s="20">
        <v>0.0</v>
      </c>
      <c r="J41" s="20">
        <v>0.0</v>
      </c>
      <c r="K41" s="20">
        <v>1.0</v>
      </c>
      <c r="L41" s="20">
        <v>0.0</v>
      </c>
      <c r="M41" s="20">
        <v>0.0</v>
      </c>
      <c r="N41" s="20">
        <v>0.0</v>
      </c>
      <c r="O41" s="20">
        <v>6.0</v>
      </c>
      <c r="P41" s="20">
        <v>3.0</v>
      </c>
      <c r="Q41" s="20">
        <v>6.0</v>
      </c>
      <c r="R41" s="20">
        <v>5.0</v>
      </c>
      <c r="S41" s="13">
        <f t="shared" si="11"/>
        <v>27</v>
      </c>
      <c r="T41" s="14">
        <f t="shared" si="12"/>
        <v>0.01269990593</v>
      </c>
      <c r="U41" s="10"/>
      <c r="V41" s="10"/>
      <c r="W41" s="10"/>
      <c r="X41" s="10"/>
      <c r="Y41" s="10"/>
      <c r="Z41" s="10"/>
      <c r="AA41" s="10"/>
      <c r="AB41" s="10"/>
    </row>
    <row r="42">
      <c r="A42" s="8"/>
      <c r="B42" s="8"/>
      <c r="C42" s="32"/>
      <c r="D42" s="33" t="s">
        <v>38</v>
      </c>
      <c r="E42" s="20">
        <v>0.0</v>
      </c>
      <c r="F42" s="20">
        <v>0.0</v>
      </c>
      <c r="G42" s="20">
        <v>0.0</v>
      </c>
      <c r="H42" s="20">
        <v>3.0</v>
      </c>
      <c r="I42" s="20">
        <v>0.0</v>
      </c>
      <c r="J42" s="20">
        <v>0.0</v>
      </c>
      <c r="K42" s="20">
        <v>0.0</v>
      </c>
      <c r="L42" s="20">
        <v>0.0</v>
      </c>
      <c r="M42" s="20">
        <v>0.0</v>
      </c>
      <c r="N42" s="20">
        <v>0.0</v>
      </c>
      <c r="O42" s="20"/>
      <c r="P42" s="41">
        <v>1.0</v>
      </c>
      <c r="Q42" s="20">
        <v>0.0</v>
      </c>
      <c r="R42" s="20">
        <v>0.0</v>
      </c>
      <c r="S42" s="13">
        <f t="shared" si="11"/>
        <v>4</v>
      </c>
      <c r="T42" s="14">
        <f t="shared" si="12"/>
        <v>0.001881467545</v>
      </c>
      <c r="U42" s="10"/>
      <c r="V42" s="10"/>
      <c r="W42" s="10"/>
      <c r="X42" s="10"/>
      <c r="Y42" s="10"/>
      <c r="Z42" s="10"/>
      <c r="AA42" s="10"/>
      <c r="AB42" s="10"/>
    </row>
    <row r="43">
      <c r="A43" s="8"/>
      <c r="B43" s="8"/>
      <c r="C43" s="32"/>
      <c r="D43" s="33" t="s">
        <v>39</v>
      </c>
      <c r="E43" s="20">
        <v>0.0</v>
      </c>
      <c r="F43" s="20">
        <v>0.0</v>
      </c>
      <c r="G43" s="20">
        <v>1.0</v>
      </c>
      <c r="H43" s="20">
        <v>0.0</v>
      </c>
      <c r="I43" s="20">
        <v>0.0</v>
      </c>
      <c r="J43" s="20">
        <v>0.0</v>
      </c>
      <c r="K43" s="20">
        <v>0.0</v>
      </c>
      <c r="L43" s="20">
        <v>0.0</v>
      </c>
      <c r="M43" s="20">
        <v>0.0</v>
      </c>
      <c r="N43" s="20">
        <v>1.0</v>
      </c>
      <c r="O43" s="41">
        <v>0.0</v>
      </c>
      <c r="P43" s="20">
        <v>2.0</v>
      </c>
      <c r="Q43" s="20">
        <v>0.0</v>
      </c>
      <c r="R43" s="20">
        <v>0.0</v>
      </c>
      <c r="S43" s="13">
        <f t="shared" si="11"/>
        <v>4</v>
      </c>
      <c r="T43" s="14">
        <f t="shared" si="12"/>
        <v>0.001881467545</v>
      </c>
      <c r="U43" s="10"/>
      <c r="V43" s="10"/>
      <c r="W43" s="10"/>
      <c r="X43" s="10"/>
      <c r="Y43" s="10"/>
      <c r="Z43" s="10"/>
      <c r="AA43" s="10"/>
      <c r="AB43" s="10"/>
    </row>
    <row r="44">
      <c r="A44" s="8"/>
      <c r="B44" s="8"/>
      <c r="C44" s="32"/>
      <c r="D44" s="33" t="s">
        <v>40</v>
      </c>
      <c r="E44" s="20">
        <v>0.0</v>
      </c>
      <c r="F44" s="20">
        <v>1.0</v>
      </c>
      <c r="G44" s="20">
        <v>0.0</v>
      </c>
      <c r="H44" s="20">
        <v>2.0</v>
      </c>
      <c r="I44" s="20">
        <v>0.0</v>
      </c>
      <c r="J44" s="20">
        <v>0.0</v>
      </c>
      <c r="K44" s="20">
        <v>0.0</v>
      </c>
      <c r="L44" s="20">
        <v>0.0</v>
      </c>
      <c r="M44" s="20">
        <v>0.0</v>
      </c>
      <c r="N44" s="20">
        <v>0.0</v>
      </c>
      <c r="O44" s="41">
        <v>0.0</v>
      </c>
      <c r="P44" s="20">
        <v>0.0</v>
      </c>
      <c r="Q44" s="20">
        <v>0.0</v>
      </c>
      <c r="R44" s="20">
        <v>0.0</v>
      </c>
      <c r="S44" s="13">
        <f t="shared" si="11"/>
        <v>3</v>
      </c>
      <c r="T44" s="14">
        <f t="shared" si="12"/>
        <v>0.001411100659</v>
      </c>
      <c r="U44" s="10"/>
      <c r="V44" s="10"/>
      <c r="W44" s="10"/>
      <c r="X44" s="10"/>
      <c r="Y44" s="10"/>
      <c r="Z44" s="10"/>
      <c r="AA44" s="10"/>
      <c r="AB44" s="10"/>
    </row>
    <row r="45">
      <c r="A45" s="8"/>
      <c r="B45" s="8"/>
      <c r="C45" s="32"/>
      <c r="D45" s="33" t="s">
        <v>41</v>
      </c>
      <c r="E45" s="20">
        <v>0.0</v>
      </c>
      <c r="F45" s="20">
        <v>0.0</v>
      </c>
      <c r="G45" s="20">
        <v>0.0</v>
      </c>
      <c r="H45" s="20">
        <v>0.0</v>
      </c>
      <c r="I45" s="20">
        <v>0.0</v>
      </c>
      <c r="J45" s="20">
        <v>0.0</v>
      </c>
      <c r="K45" s="20">
        <v>1.0</v>
      </c>
      <c r="L45" s="20">
        <v>0.0</v>
      </c>
      <c r="M45" s="20">
        <v>0.0</v>
      </c>
      <c r="N45" s="20">
        <v>0.0</v>
      </c>
      <c r="O45" s="41">
        <v>0.0</v>
      </c>
      <c r="P45" s="20">
        <v>0.0</v>
      </c>
      <c r="Q45" s="20">
        <v>0.0</v>
      </c>
      <c r="R45" s="20">
        <v>0.0</v>
      </c>
      <c r="S45" s="13">
        <f t="shared" si="11"/>
        <v>1</v>
      </c>
      <c r="T45" s="14">
        <f t="shared" si="12"/>
        <v>0.0004703668862</v>
      </c>
      <c r="U45" s="10"/>
      <c r="V45" s="10"/>
      <c r="W45" s="10"/>
      <c r="X45" s="10"/>
      <c r="Y45" s="10"/>
      <c r="Z45" s="10"/>
      <c r="AA45" s="10"/>
      <c r="AB45" s="10"/>
    </row>
    <row r="46">
      <c r="A46" s="8"/>
      <c r="B46" s="8"/>
      <c r="C46" s="32"/>
      <c r="D46" s="33" t="s">
        <v>42</v>
      </c>
      <c r="E46" s="20">
        <v>3.0</v>
      </c>
      <c r="F46" s="20">
        <v>11.0</v>
      </c>
      <c r="G46" s="20">
        <v>7.0</v>
      </c>
      <c r="H46" s="20">
        <v>3.0</v>
      </c>
      <c r="I46" s="20">
        <v>3.0</v>
      </c>
      <c r="J46" s="20">
        <v>0.0</v>
      </c>
      <c r="K46" s="20">
        <v>2.0</v>
      </c>
      <c r="L46" s="20">
        <v>5.0</v>
      </c>
      <c r="M46" s="20">
        <v>2.0</v>
      </c>
      <c r="N46" s="20">
        <v>4.0</v>
      </c>
      <c r="O46" s="41">
        <v>6.0</v>
      </c>
      <c r="P46" s="20">
        <v>2.0</v>
      </c>
      <c r="Q46" s="20">
        <v>3.0</v>
      </c>
      <c r="R46" s="20">
        <v>2.0</v>
      </c>
      <c r="S46" s="13">
        <f t="shared" si="11"/>
        <v>53</v>
      </c>
      <c r="T46" s="14">
        <f t="shared" si="12"/>
        <v>0.02492944497</v>
      </c>
      <c r="U46" s="10"/>
      <c r="V46" s="10"/>
      <c r="W46" s="10"/>
      <c r="X46" s="10"/>
      <c r="Y46" s="10"/>
      <c r="Z46" s="10"/>
      <c r="AA46" s="10"/>
      <c r="AB46" s="10"/>
    </row>
    <row r="47">
      <c r="A47" s="8"/>
      <c r="B47" s="8"/>
      <c r="C47" s="32"/>
      <c r="D47" s="33" t="s">
        <v>43</v>
      </c>
      <c r="E47" s="20">
        <v>0.0</v>
      </c>
      <c r="F47" s="20">
        <v>0.0</v>
      </c>
      <c r="G47" s="20">
        <v>0.0</v>
      </c>
      <c r="H47" s="20">
        <v>0.0</v>
      </c>
      <c r="I47" s="20">
        <v>0.0</v>
      </c>
      <c r="J47" s="20">
        <v>0.0</v>
      </c>
      <c r="K47" s="20">
        <v>0.0</v>
      </c>
      <c r="L47" s="20">
        <v>0.0</v>
      </c>
      <c r="M47" s="20">
        <v>0.0</v>
      </c>
      <c r="N47" s="20">
        <v>0.0</v>
      </c>
      <c r="O47" s="41">
        <v>0.0</v>
      </c>
      <c r="P47" s="20">
        <v>0.0</v>
      </c>
      <c r="Q47" s="20">
        <v>0.0</v>
      </c>
      <c r="R47" s="20">
        <v>2.0</v>
      </c>
      <c r="S47" s="13">
        <f t="shared" si="11"/>
        <v>2</v>
      </c>
      <c r="T47" s="14">
        <f t="shared" si="12"/>
        <v>0.0009407337723</v>
      </c>
      <c r="U47" s="10"/>
      <c r="V47" s="10"/>
      <c r="W47" s="10"/>
      <c r="X47" s="10"/>
      <c r="Y47" s="10"/>
      <c r="Z47" s="10"/>
      <c r="AA47" s="10"/>
      <c r="AB47" s="10"/>
    </row>
    <row r="48">
      <c r="A48" s="8"/>
      <c r="B48" s="8"/>
      <c r="C48" s="32"/>
      <c r="D48" s="33" t="s">
        <v>44</v>
      </c>
      <c r="E48" s="20">
        <v>0.0</v>
      </c>
      <c r="F48" s="20">
        <v>0.0</v>
      </c>
      <c r="G48" s="20">
        <v>0.0</v>
      </c>
      <c r="H48" s="20">
        <v>0.0</v>
      </c>
      <c r="I48" s="20">
        <v>0.0</v>
      </c>
      <c r="J48" s="20">
        <v>0.0</v>
      </c>
      <c r="K48" s="20">
        <v>0.0</v>
      </c>
      <c r="L48" s="20">
        <v>0.0</v>
      </c>
      <c r="M48" s="20">
        <v>0.0</v>
      </c>
      <c r="N48" s="20">
        <v>0.0</v>
      </c>
      <c r="O48" s="41">
        <v>1.0</v>
      </c>
      <c r="P48" s="20">
        <v>0.0</v>
      </c>
      <c r="Q48" s="20">
        <v>0.0</v>
      </c>
      <c r="R48" s="20">
        <v>0.0</v>
      </c>
      <c r="S48" s="13">
        <f t="shared" si="11"/>
        <v>1</v>
      </c>
      <c r="T48" s="14">
        <f t="shared" si="12"/>
        <v>0.0004703668862</v>
      </c>
      <c r="U48" s="10"/>
      <c r="V48" s="10"/>
      <c r="W48" s="10"/>
      <c r="X48" s="10"/>
      <c r="Y48" s="10"/>
      <c r="Z48" s="10"/>
      <c r="AA48" s="10"/>
      <c r="AB48" s="10"/>
    </row>
    <row r="49">
      <c r="A49" s="8"/>
      <c r="B49" s="8"/>
      <c r="C49" s="32"/>
      <c r="D49" s="33" t="s">
        <v>45</v>
      </c>
      <c r="E49" s="20">
        <v>27.0</v>
      </c>
      <c r="F49" s="20">
        <v>54.0</v>
      </c>
      <c r="G49" s="20">
        <v>50.0</v>
      </c>
      <c r="H49" s="20">
        <v>18.0</v>
      </c>
      <c r="I49" s="20">
        <v>20.0</v>
      </c>
      <c r="J49" s="20">
        <v>16.0</v>
      </c>
      <c r="K49" s="20">
        <v>13.0</v>
      </c>
      <c r="L49" s="20">
        <v>27.0</v>
      </c>
      <c r="M49" s="20">
        <v>36.0</v>
      </c>
      <c r="N49" s="20">
        <v>32.0</v>
      </c>
      <c r="O49" s="41">
        <v>36.0</v>
      </c>
      <c r="P49" s="20">
        <v>47.0</v>
      </c>
      <c r="Q49" s="20">
        <v>40.0</v>
      </c>
      <c r="R49" s="20">
        <v>24.0</v>
      </c>
      <c r="S49" s="13">
        <f t="shared" si="11"/>
        <v>440</v>
      </c>
      <c r="T49" s="14">
        <f t="shared" si="12"/>
        <v>0.2069614299</v>
      </c>
      <c r="U49" s="10"/>
      <c r="V49" s="10"/>
      <c r="W49" s="10"/>
      <c r="X49" s="10"/>
      <c r="Y49" s="10"/>
      <c r="Z49" s="10"/>
      <c r="AA49" s="10"/>
      <c r="AB49" s="10"/>
    </row>
    <row r="50">
      <c r="A50" s="8"/>
      <c r="B50" s="8"/>
      <c r="C50" s="32"/>
      <c r="D50" s="33" t="s">
        <v>46</v>
      </c>
      <c r="E50" s="20">
        <v>20.0</v>
      </c>
      <c r="F50" s="20">
        <v>35.0</v>
      </c>
      <c r="G50" s="20">
        <v>24.0</v>
      </c>
      <c r="H50" s="20">
        <v>20.0</v>
      </c>
      <c r="I50" s="20">
        <v>28.0</v>
      </c>
      <c r="J50" s="20">
        <v>26.0</v>
      </c>
      <c r="K50" s="20">
        <v>17.0</v>
      </c>
      <c r="L50" s="20">
        <v>22.0</v>
      </c>
      <c r="M50" s="20">
        <v>16.0</v>
      </c>
      <c r="N50" s="20">
        <v>29.0</v>
      </c>
      <c r="O50" s="20">
        <v>37.0</v>
      </c>
      <c r="P50" s="20">
        <v>41.0</v>
      </c>
      <c r="Q50" s="20">
        <v>35.0</v>
      </c>
      <c r="R50" s="20">
        <v>15.0</v>
      </c>
      <c r="S50" s="13">
        <f t="shared" si="11"/>
        <v>365</v>
      </c>
      <c r="T50" s="14">
        <f t="shared" si="12"/>
        <v>0.1716839135</v>
      </c>
      <c r="U50" s="10"/>
      <c r="V50" s="10"/>
      <c r="W50" s="10"/>
      <c r="X50" s="10"/>
      <c r="Y50" s="10"/>
      <c r="Z50" s="10"/>
      <c r="AA50" s="10"/>
      <c r="AB50" s="10"/>
    </row>
    <row r="51">
      <c r="A51" s="8"/>
      <c r="B51" s="8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10"/>
      <c r="V51" s="10"/>
      <c r="W51" s="10"/>
      <c r="X51" s="10"/>
      <c r="Y51" s="10"/>
      <c r="Z51" s="10"/>
      <c r="AA51" s="10"/>
      <c r="AB51" s="10"/>
    </row>
    <row r="52">
      <c r="A52" s="42"/>
      <c r="B52" s="42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>
      <c r="A53" s="42"/>
      <c r="B53" s="4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>
      <c r="A54" s="42"/>
      <c r="B54" s="42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>
      <c r="A55" s="42"/>
      <c r="B55" s="42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>
      <c r="A56" s="42"/>
      <c r="B56" s="42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>
      <c r="A57" s="42"/>
      <c r="B57" s="42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>
      <c r="A58" s="42"/>
      <c r="B58" s="42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>
      <c r="A59" s="42"/>
      <c r="B59" s="42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>
      <c r="A60" s="42"/>
      <c r="B60" s="42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>
      <c r="A61" s="42"/>
      <c r="B61" s="42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>
      <c r="A62" s="42"/>
      <c r="B62" s="42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>
      <c r="A63" s="42"/>
      <c r="B63" s="42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>
      <c r="A64" s="42"/>
      <c r="B64" s="42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>
      <c r="A65" s="42"/>
      <c r="B65" s="42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>
      <c r="A66" s="42"/>
      <c r="B66" s="42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>
      <c r="A67" s="42"/>
      <c r="B67" s="42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>
      <c r="A68" s="42"/>
      <c r="B68" s="42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>
      <c r="A69" s="42"/>
      <c r="B69" s="42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>
      <c r="A70" s="42"/>
      <c r="B70" s="42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>
      <c r="A71" s="42"/>
      <c r="B71" s="42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>
      <c r="A72" s="42"/>
      <c r="B72" s="42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>
      <c r="A73" s="42"/>
      <c r="B73" s="42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>
      <c r="A74" s="42"/>
      <c r="B74" s="42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>
      <c r="A75" s="42"/>
      <c r="B75" s="42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>
      <c r="A76" s="42"/>
      <c r="B76" s="42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>
      <c r="A77" s="42"/>
      <c r="B77" s="42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>
      <c r="A78" s="42"/>
      <c r="B78" s="42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>
      <c r="A79" s="42"/>
      <c r="B79" s="42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>
      <c r="A80" s="42"/>
      <c r="B80" s="42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>
      <c r="A81" s="42"/>
      <c r="B81" s="42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>
      <c r="A82" s="42"/>
      <c r="B82" s="42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>
      <c r="A83" s="42"/>
      <c r="B83" s="42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>
      <c r="A84" s="42"/>
      <c r="B84" s="42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>
      <c r="A85" s="42"/>
      <c r="B85" s="42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>
      <c r="A86" s="42"/>
      <c r="B86" s="42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>
      <c r="A87" s="42"/>
      <c r="B87" s="42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>
      <c r="A88" s="42"/>
      <c r="B88" s="42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>
      <c r="A89" s="42"/>
      <c r="B89" s="42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>
      <c r="A90" s="42"/>
      <c r="B90" s="42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>
      <c r="A91" s="42"/>
      <c r="B91" s="42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>
      <c r="A92" s="42"/>
      <c r="B92" s="42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>
      <c r="A93" s="42"/>
      <c r="B93" s="42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>
      <c r="A94" s="42"/>
      <c r="B94" s="42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>
      <c r="A95" s="42"/>
      <c r="B95" s="42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>
      <c r="A96" s="42"/>
      <c r="B96" s="42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>
      <c r="A97" s="42"/>
      <c r="B97" s="42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>
      <c r="A98" s="42"/>
      <c r="B98" s="42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>
      <c r="A99" s="42"/>
      <c r="B99" s="42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>
      <c r="A100" s="42"/>
      <c r="B100" s="42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>
      <c r="A101" s="42"/>
      <c r="B101" s="42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>
      <c r="A102" s="42"/>
      <c r="B102" s="42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>
      <c r="A103" s="42"/>
      <c r="B103" s="42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>
      <c r="A104" s="42"/>
      <c r="B104" s="42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>
      <c r="A105" s="42"/>
      <c r="B105" s="42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>
      <c r="A106" s="42"/>
      <c r="B106" s="42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>
      <c r="A107" s="42"/>
      <c r="B107" s="42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>
      <c r="A108" s="42"/>
      <c r="B108" s="42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>
      <c r="A109" s="42"/>
      <c r="B109" s="42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>
      <c r="A110" s="42"/>
      <c r="B110" s="42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>
      <c r="A111" s="42"/>
      <c r="B111" s="42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>
      <c r="A112" s="42"/>
      <c r="B112" s="42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>
      <c r="A113" s="42"/>
      <c r="B113" s="42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>
      <c r="A114" s="42"/>
      <c r="B114" s="42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>
      <c r="A115" s="42"/>
      <c r="B115" s="42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>
      <c r="A116" s="42"/>
      <c r="B116" s="42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>
      <c r="A117" s="42"/>
      <c r="B117" s="42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>
      <c r="A118" s="42"/>
      <c r="B118" s="42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>
      <c r="A119" s="42"/>
      <c r="B119" s="42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>
      <c r="A120" s="42"/>
      <c r="B120" s="42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>
      <c r="A121" s="42"/>
      <c r="B121" s="42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>
      <c r="A122" s="42"/>
      <c r="B122" s="42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>
      <c r="A123" s="42"/>
      <c r="B123" s="42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>
      <c r="A124" s="42"/>
      <c r="B124" s="42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>
      <c r="A125" s="42"/>
      <c r="B125" s="42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>
      <c r="A126" s="42"/>
      <c r="B126" s="42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>
      <c r="A127" s="42"/>
      <c r="B127" s="42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>
      <c r="A128" s="42"/>
      <c r="B128" s="42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>
      <c r="A129" s="42"/>
      <c r="B129" s="42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>
      <c r="A130" s="42"/>
      <c r="B130" s="42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>
      <c r="A131" s="42"/>
      <c r="B131" s="42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>
      <c r="A132" s="42"/>
      <c r="B132" s="42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>
      <c r="A133" s="42"/>
      <c r="B133" s="42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>
      <c r="A134" s="42"/>
      <c r="B134" s="42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>
      <c r="A135" s="42"/>
      <c r="B135" s="42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>
      <c r="A136" s="42"/>
      <c r="B136" s="42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>
      <c r="A137" s="42"/>
      <c r="B137" s="42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>
      <c r="A138" s="42"/>
      <c r="B138" s="42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>
      <c r="A139" s="42"/>
      <c r="B139" s="42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>
      <c r="A140" s="42"/>
      <c r="B140" s="42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>
      <c r="A141" s="42"/>
      <c r="B141" s="42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>
      <c r="A142" s="42"/>
      <c r="B142" s="42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>
      <c r="A143" s="42"/>
      <c r="B143" s="42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>
      <c r="A144" s="42"/>
      <c r="B144" s="42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>
      <c r="A145" s="42"/>
      <c r="B145" s="42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>
      <c r="A146" s="42"/>
      <c r="B146" s="42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>
      <c r="A147" s="42"/>
      <c r="B147" s="42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>
      <c r="A148" s="42"/>
      <c r="B148" s="42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>
      <c r="A149" s="42"/>
      <c r="B149" s="42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>
      <c r="A150" s="42"/>
      <c r="B150" s="42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>
      <c r="A151" s="42"/>
      <c r="B151" s="42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>
      <c r="A152" s="42"/>
      <c r="B152" s="42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>
      <c r="A153" s="42"/>
      <c r="B153" s="42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>
      <c r="A154" s="42"/>
      <c r="B154" s="42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>
      <c r="A155" s="42"/>
      <c r="B155" s="42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>
      <c r="A156" s="42"/>
      <c r="B156" s="42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>
      <c r="A157" s="42"/>
      <c r="B157" s="42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>
      <c r="A158" s="42"/>
      <c r="B158" s="42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>
      <c r="A159" s="42"/>
      <c r="B159" s="42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>
      <c r="A160" s="42"/>
      <c r="B160" s="42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>
      <c r="A161" s="42"/>
      <c r="B161" s="42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>
      <c r="A162" s="42"/>
      <c r="B162" s="42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>
      <c r="A163" s="42"/>
      <c r="B163" s="42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>
      <c r="A164" s="42"/>
      <c r="B164" s="42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>
      <c r="A165" s="42"/>
      <c r="B165" s="42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>
      <c r="A166" s="42"/>
      <c r="B166" s="42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>
      <c r="A167" s="42"/>
      <c r="B167" s="42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>
      <c r="A168" s="42"/>
      <c r="B168" s="42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>
      <c r="A169" s="42"/>
      <c r="B169" s="42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>
      <c r="A170" s="42"/>
      <c r="B170" s="42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>
      <c r="A171" s="42"/>
      <c r="B171" s="42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>
      <c r="A172" s="42"/>
      <c r="B172" s="42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>
      <c r="A173" s="42"/>
      <c r="B173" s="42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>
      <c r="A174" s="42"/>
      <c r="B174" s="42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>
      <c r="A175" s="42"/>
      <c r="B175" s="42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>
      <c r="A176" s="42"/>
      <c r="B176" s="42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>
      <c r="A177" s="42"/>
      <c r="B177" s="42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>
      <c r="A178" s="42"/>
      <c r="B178" s="42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>
      <c r="A179" s="42"/>
      <c r="B179" s="42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>
      <c r="A180" s="42"/>
      <c r="B180" s="42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>
      <c r="A181" s="42"/>
      <c r="B181" s="42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>
      <c r="A182" s="42"/>
      <c r="B182" s="42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>
      <c r="A183" s="42"/>
      <c r="B183" s="42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>
      <c r="A184" s="42"/>
      <c r="B184" s="42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>
      <c r="A185" s="42"/>
      <c r="B185" s="42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>
      <c r="A186" s="42"/>
      <c r="B186" s="42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>
      <c r="A187" s="42"/>
      <c r="B187" s="42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>
      <c r="A188" s="42"/>
      <c r="B188" s="42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>
      <c r="A189" s="42"/>
      <c r="B189" s="42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>
      <c r="A190" s="42"/>
      <c r="B190" s="42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>
      <c r="A191" s="42"/>
      <c r="B191" s="42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>
      <c r="A192" s="42"/>
      <c r="B192" s="42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>
      <c r="A193" s="42"/>
      <c r="B193" s="42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>
      <c r="A194" s="42"/>
      <c r="B194" s="42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>
      <c r="A195" s="42"/>
      <c r="B195" s="42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>
      <c r="A196" s="42"/>
      <c r="B196" s="42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>
      <c r="A197" s="42"/>
      <c r="B197" s="42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>
      <c r="A198" s="42"/>
      <c r="B198" s="42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>
      <c r="A199" s="42"/>
      <c r="B199" s="42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>
      <c r="A200" s="42"/>
      <c r="B200" s="42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>
      <c r="A201" s="42"/>
      <c r="B201" s="42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>
      <c r="A202" s="42"/>
      <c r="B202" s="42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>
      <c r="A203" s="42"/>
      <c r="B203" s="42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>
      <c r="A204" s="42"/>
      <c r="B204" s="42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>
      <c r="A205" s="42"/>
      <c r="B205" s="42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>
      <c r="A206" s="42"/>
      <c r="B206" s="42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>
      <c r="A207" s="42"/>
      <c r="B207" s="42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>
      <c r="A208" s="42"/>
      <c r="B208" s="42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>
      <c r="A209" s="42"/>
      <c r="B209" s="42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>
      <c r="A210" s="42"/>
      <c r="B210" s="42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>
      <c r="A211" s="42"/>
      <c r="B211" s="42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>
      <c r="A212" s="42"/>
      <c r="B212" s="42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>
      <c r="A213" s="42"/>
      <c r="B213" s="42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>
      <c r="A214" s="42"/>
      <c r="B214" s="42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>
      <c r="A215" s="42"/>
      <c r="B215" s="42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>
      <c r="A216" s="42"/>
      <c r="B216" s="42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>
      <c r="A217" s="42"/>
      <c r="B217" s="42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>
      <c r="A218" s="42"/>
      <c r="B218" s="42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>
      <c r="A219" s="42"/>
      <c r="B219" s="42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>
      <c r="A220" s="42"/>
      <c r="B220" s="42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>
      <c r="A221" s="42"/>
      <c r="B221" s="42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>
      <c r="A222" s="42"/>
      <c r="B222" s="42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>
      <c r="A223" s="42"/>
      <c r="B223" s="42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>
      <c r="A224" s="42"/>
      <c r="B224" s="42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>
      <c r="A225" s="42"/>
      <c r="B225" s="42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>
      <c r="A226" s="42"/>
      <c r="B226" s="42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>
      <c r="A227" s="42"/>
      <c r="B227" s="42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>
      <c r="A228" s="42"/>
      <c r="B228" s="42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>
      <c r="A229" s="42"/>
      <c r="B229" s="42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>
      <c r="A230" s="42"/>
      <c r="B230" s="42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>
      <c r="A231" s="42"/>
      <c r="B231" s="42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>
      <c r="A232" s="42"/>
      <c r="B232" s="42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>
      <c r="A233" s="42"/>
      <c r="B233" s="42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>
      <c r="A234" s="42"/>
      <c r="B234" s="42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>
      <c r="A235" s="42"/>
      <c r="B235" s="42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>
      <c r="A236" s="42"/>
      <c r="B236" s="42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>
      <c r="A237" s="42"/>
      <c r="B237" s="42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>
      <c r="A238" s="42"/>
      <c r="B238" s="42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>
      <c r="A239" s="42"/>
      <c r="B239" s="42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>
      <c r="A240" s="42"/>
      <c r="B240" s="42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>
      <c r="A241" s="42"/>
      <c r="B241" s="42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>
      <c r="A242" s="42"/>
      <c r="B242" s="42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>
      <c r="A243" s="42"/>
      <c r="B243" s="42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>
      <c r="A244" s="42"/>
      <c r="B244" s="42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>
      <c r="A245" s="42"/>
      <c r="B245" s="42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>
      <c r="A246" s="42"/>
      <c r="B246" s="42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>
      <c r="A247" s="42"/>
      <c r="B247" s="42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>
      <c r="A248" s="42"/>
      <c r="B248" s="42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>
      <c r="A249" s="42"/>
      <c r="B249" s="42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>
      <c r="A250" s="42"/>
      <c r="B250" s="42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>
      <c r="A251" s="42"/>
      <c r="B251" s="42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>
      <c r="A252" s="42"/>
      <c r="B252" s="42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>
      <c r="A253" s="42"/>
      <c r="B253" s="42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>
      <c r="A254" s="42"/>
      <c r="B254" s="42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>
      <c r="A255" s="42"/>
      <c r="B255" s="42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>
      <c r="A256" s="42"/>
      <c r="B256" s="42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>
      <c r="A257" s="42"/>
      <c r="B257" s="42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>
      <c r="A258" s="42"/>
      <c r="B258" s="42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>
      <c r="A259" s="42"/>
      <c r="B259" s="42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>
      <c r="A260" s="42"/>
      <c r="B260" s="42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>
      <c r="A261" s="42"/>
      <c r="B261" s="42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>
      <c r="A262" s="42"/>
      <c r="B262" s="42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>
      <c r="A263" s="42"/>
      <c r="B263" s="42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>
      <c r="A264" s="42"/>
      <c r="B264" s="42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>
      <c r="A265" s="42"/>
      <c r="B265" s="42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>
      <c r="A266" s="42"/>
      <c r="B266" s="42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>
      <c r="A267" s="42"/>
      <c r="B267" s="42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>
      <c r="A268" s="42"/>
      <c r="B268" s="42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>
      <c r="A269" s="42"/>
      <c r="B269" s="42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>
      <c r="A270" s="42"/>
      <c r="B270" s="42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>
      <c r="A271" s="42"/>
      <c r="B271" s="42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>
      <c r="A272" s="42"/>
      <c r="B272" s="42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>
      <c r="A273" s="42"/>
      <c r="B273" s="42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>
      <c r="A274" s="42"/>
      <c r="B274" s="42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>
      <c r="A275" s="42"/>
      <c r="B275" s="42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>
      <c r="A276" s="42"/>
      <c r="B276" s="42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>
      <c r="A277" s="42"/>
      <c r="B277" s="42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>
      <c r="A278" s="42"/>
      <c r="B278" s="42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>
      <c r="A279" s="42"/>
      <c r="B279" s="42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>
      <c r="A280" s="42"/>
      <c r="B280" s="42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>
      <c r="A281" s="42"/>
      <c r="B281" s="42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>
      <c r="A282" s="42"/>
      <c r="B282" s="42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>
      <c r="A283" s="42"/>
      <c r="B283" s="42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>
      <c r="A284" s="42"/>
      <c r="B284" s="42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>
      <c r="A285" s="42"/>
      <c r="B285" s="42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>
      <c r="A286" s="42"/>
      <c r="B286" s="42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>
      <c r="A287" s="42"/>
      <c r="B287" s="42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>
      <c r="A288" s="42"/>
      <c r="B288" s="42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>
      <c r="A289" s="42"/>
      <c r="B289" s="42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>
      <c r="A290" s="42"/>
      <c r="B290" s="42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>
      <c r="A291" s="42"/>
      <c r="B291" s="42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>
      <c r="A292" s="42"/>
      <c r="B292" s="42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>
      <c r="A293" s="42"/>
      <c r="B293" s="42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>
      <c r="A294" s="42"/>
      <c r="B294" s="42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>
      <c r="A295" s="42"/>
      <c r="B295" s="42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>
      <c r="A296" s="42"/>
      <c r="B296" s="42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>
      <c r="A297" s="42"/>
      <c r="B297" s="42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>
      <c r="A298" s="42"/>
      <c r="B298" s="42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>
      <c r="A299" s="42"/>
      <c r="B299" s="42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>
      <c r="A300" s="42"/>
      <c r="B300" s="42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>
      <c r="A301" s="42"/>
      <c r="B301" s="42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>
      <c r="A302" s="42"/>
      <c r="B302" s="42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>
      <c r="A303" s="42"/>
      <c r="B303" s="42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>
      <c r="A304" s="42"/>
      <c r="B304" s="42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>
      <c r="A305" s="42"/>
      <c r="B305" s="42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>
      <c r="A306" s="42"/>
      <c r="B306" s="42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>
      <c r="A307" s="42"/>
      <c r="B307" s="42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>
      <c r="A308" s="42"/>
      <c r="B308" s="42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>
      <c r="A309" s="42"/>
      <c r="B309" s="42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>
      <c r="A310" s="42"/>
      <c r="B310" s="42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>
      <c r="A311" s="42"/>
      <c r="B311" s="42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>
      <c r="A312" s="42"/>
      <c r="B312" s="42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>
      <c r="A313" s="42"/>
      <c r="B313" s="42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>
      <c r="A314" s="42"/>
      <c r="B314" s="42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>
      <c r="A315" s="42"/>
      <c r="B315" s="42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>
      <c r="A316" s="42"/>
      <c r="B316" s="42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>
      <c r="A317" s="42"/>
      <c r="B317" s="42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>
      <c r="A318" s="42"/>
      <c r="B318" s="42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>
      <c r="A319" s="42"/>
      <c r="B319" s="42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>
      <c r="A320" s="42"/>
      <c r="B320" s="42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>
      <c r="A321" s="42"/>
      <c r="B321" s="42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>
      <c r="A322" s="42"/>
      <c r="B322" s="42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>
      <c r="A323" s="42"/>
      <c r="B323" s="42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>
      <c r="A324" s="42"/>
      <c r="B324" s="42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>
      <c r="A325" s="42"/>
      <c r="B325" s="42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>
      <c r="A326" s="42"/>
      <c r="B326" s="42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>
      <c r="A327" s="42"/>
      <c r="B327" s="42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>
      <c r="A328" s="42"/>
      <c r="B328" s="42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>
      <c r="A329" s="42"/>
      <c r="B329" s="42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>
      <c r="A330" s="42"/>
      <c r="B330" s="42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>
      <c r="A331" s="42"/>
      <c r="B331" s="42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>
      <c r="A332" s="42"/>
      <c r="B332" s="42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>
      <c r="A333" s="42"/>
      <c r="B333" s="42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>
      <c r="A334" s="42"/>
      <c r="B334" s="42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>
      <c r="A335" s="42"/>
      <c r="B335" s="42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>
      <c r="A336" s="42"/>
      <c r="B336" s="42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>
      <c r="A337" s="42"/>
      <c r="B337" s="42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>
      <c r="A338" s="42"/>
      <c r="B338" s="42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>
      <c r="A339" s="42"/>
      <c r="B339" s="42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>
      <c r="A340" s="42"/>
      <c r="B340" s="42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>
      <c r="A341" s="42"/>
      <c r="B341" s="42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>
      <c r="A342" s="42"/>
      <c r="B342" s="42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>
      <c r="A343" s="42"/>
      <c r="B343" s="42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>
      <c r="A344" s="42"/>
      <c r="B344" s="42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>
      <c r="A345" s="42"/>
      <c r="B345" s="42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>
      <c r="A346" s="42"/>
      <c r="B346" s="42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>
      <c r="A347" s="42"/>
      <c r="B347" s="42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>
      <c r="A348" s="42"/>
      <c r="B348" s="42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>
      <c r="A349" s="42"/>
      <c r="B349" s="42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>
      <c r="A350" s="42"/>
      <c r="B350" s="42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>
      <c r="A351" s="42"/>
      <c r="B351" s="42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>
      <c r="A352" s="42"/>
      <c r="B352" s="42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>
      <c r="A353" s="42"/>
      <c r="B353" s="42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>
      <c r="A354" s="42"/>
      <c r="B354" s="42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>
      <c r="A355" s="42"/>
      <c r="B355" s="42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>
      <c r="A356" s="42"/>
      <c r="B356" s="42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>
      <c r="A357" s="42"/>
      <c r="B357" s="42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>
      <c r="A358" s="42"/>
      <c r="B358" s="42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>
      <c r="A359" s="42"/>
      <c r="B359" s="42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>
      <c r="A360" s="42"/>
      <c r="B360" s="42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>
      <c r="A361" s="42"/>
      <c r="B361" s="42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>
      <c r="A362" s="42"/>
      <c r="B362" s="42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>
      <c r="A363" s="42"/>
      <c r="B363" s="42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>
      <c r="A364" s="42"/>
      <c r="B364" s="42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>
      <c r="A365" s="42"/>
      <c r="B365" s="42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>
      <c r="A366" s="42"/>
      <c r="B366" s="42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>
      <c r="A367" s="42"/>
      <c r="B367" s="42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>
      <c r="A368" s="42"/>
      <c r="B368" s="42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>
      <c r="A369" s="42"/>
      <c r="B369" s="42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>
      <c r="A370" s="42"/>
      <c r="B370" s="42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>
      <c r="A371" s="42"/>
      <c r="B371" s="42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>
      <c r="A372" s="42"/>
      <c r="B372" s="42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>
      <c r="A373" s="42"/>
      <c r="B373" s="42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>
      <c r="A374" s="42"/>
      <c r="B374" s="42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>
      <c r="A375" s="42"/>
      <c r="B375" s="42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>
      <c r="A376" s="42"/>
      <c r="B376" s="42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>
      <c r="A377" s="42"/>
      <c r="B377" s="42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>
      <c r="A378" s="42"/>
      <c r="B378" s="42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>
      <c r="A379" s="42"/>
      <c r="B379" s="42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>
      <c r="A380" s="42"/>
      <c r="B380" s="42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>
      <c r="A381" s="42"/>
      <c r="B381" s="42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>
      <c r="A382" s="42"/>
      <c r="B382" s="42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>
      <c r="A383" s="42"/>
      <c r="B383" s="42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>
      <c r="A384" s="42"/>
      <c r="B384" s="42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>
      <c r="A385" s="42"/>
      <c r="B385" s="42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>
      <c r="A386" s="42"/>
      <c r="B386" s="42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>
      <c r="A387" s="42"/>
      <c r="B387" s="42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>
      <c r="A388" s="42"/>
      <c r="B388" s="42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>
      <c r="A389" s="42"/>
      <c r="B389" s="42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>
      <c r="A390" s="42"/>
      <c r="B390" s="42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>
      <c r="A391" s="42"/>
      <c r="B391" s="42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>
      <c r="A392" s="42"/>
      <c r="B392" s="42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>
      <c r="A393" s="42"/>
      <c r="B393" s="42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>
      <c r="A394" s="42"/>
      <c r="B394" s="42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>
      <c r="A395" s="42"/>
      <c r="B395" s="42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>
      <c r="A396" s="42"/>
      <c r="B396" s="42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>
      <c r="A397" s="42"/>
      <c r="B397" s="42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>
      <c r="A398" s="42"/>
      <c r="B398" s="42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>
      <c r="A399" s="42"/>
      <c r="B399" s="42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>
      <c r="A400" s="42"/>
      <c r="B400" s="42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>
      <c r="A401" s="42"/>
      <c r="B401" s="42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>
      <c r="A402" s="42"/>
      <c r="B402" s="42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>
      <c r="A403" s="42"/>
      <c r="B403" s="42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>
      <c r="A404" s="42"/>
      <c r="B404" s="42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>
      <c r="A405" s="42"/>
      <c r="B405" s="42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>
      <c r="A406" s="42"/>
      <c r="B406" s="42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>
      <c r="A407" s="42"/>
      <c r="B407" s="42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>
      <c r="A408" s="42"/>
      <c r="B408" s="42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>
      <c r="A409" s="42"/>
      <c r="B409" s="42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>
      <c r="A410" s="42"/>
      <c r="B410" s="42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>
      <c r="A411" s="42"/>
      <c r="B411" s="42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>
      <c r="A412" s="42"/>
      <c r="B412" s="42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>
      <c r="A413" s="42"/>
      <c r="B413" s="42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>
      <c r="A414" s="42"/>
      <c r="B414" s="42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>
      <c r="A415" s="42"/>
      <c r="B415" s="42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>
      <c r="A416" s="42"/>
      <c r="B416" s="42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>
      <c r="A417" s="42"/>
      <c r="B417" s="42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>
      <c r="A418" s="42"/>
      <c r="B418" s="42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>
      <c r="A419" s="42"/>
      <c r="B419" s="42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>
      <c r="A420" s="42"/>
      <c r="B420" s="42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>
      <c r="A421" s="42"/>
      <c r="B421" s="42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>
      <c r="A422" s="42"/>
      <c r="B422" s="42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>
      <c r="A423" s="42"/>
      <c r="B423" s="42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>
      <c r="A424" s="42"/>
      <c r="B424" s="42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>
      <c r="A425" s="42"/>
      <c r="B425" s="42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>
      <c r="A426" s="42"/>
      <c r="B426" s="42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>
      <c r="A427" s="42"/>
      <c r="B427" s="42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>
      <c r="A428" s="42"/>
      <c r="B428" s="42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>
      <c r="A429" s="42"/>
      <c r="B429" s="42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>
      <c r="A430" s="42"/>
      <c r="B430" s="42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>
      <c r="A431" s="42"/>
      <c r="B431" s="42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>
      <c r="A432" s="42"/>
      <c r="B432" s="42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>
      <c r="A433" s="42"/>
      <c r="B433" s="42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>
      <c r="A434" s="42"/>
      <c r="B434" s="42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>
      <c r="A435" s="42"/>
      <c r="B435" s="42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>
      <c r="A436" s="42"/>
      <c r="B436" s="42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>
      <c r="A437" s="42"/>
      <c r="B437" s="42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>
      <c r="A438" s="42"/>
      <c r="B438" s="42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>
      <c r="A439" s="42"/>
      <c r="B439" s="42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>
      <c r="A440" s="42"/>
      <c r="B440" s="42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>
      <c r="A441" s="42"/>
      <c r="B441" s="42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>
      <c r="A442" s="42"/>
      <c r="B442" s="42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>
      <c r="A443" s="42"/>
      <c r="B443" s="42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>
      <c r="A444" s="42"/>
      <c r="B444" s="42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>
      <c r="A445" s="42"/>
      <c r="B445" s="42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>
      <c r="A446" s="42"/>
      <c r="B446" s="42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>
      <c r="A447" s="42"/>
      <c r="B447" s="42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>
      <c r="A448" s="42"/>
      <c r="B448" s="42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>
      <c r="A449" s="42"/>
      <c r="B449" s="42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>
      <c r="A450" s="42"/>
      <c r="B450" s="42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>
      <c r="A451" s="42"/>
      <c r="B451" s="42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>
      <c r="A452" s="42"/>
      <c r="B452" s="42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>
      <c r="A453" s="42"/>
      <c r="B453" s="42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>
      <c r="A454" s="42"/>
      <c r="B454" s="42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>
      <c r="A455" s="42"/>
      <c r="B455" s="42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>
      <c r="A456" s="42"/>
      <c r="B456" s="42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>
      <c r="A457" s="42"/>
      <c r="B457" s="42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>
      <c r="A458" s="42"/>
      <c r="B458" s="42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>
      <c r="A459" s="42"/>
      <c r="B459" s="42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>
      <c r="A460" s="42"/>
      <c r="B460" s="42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>
      <c r="A461" s="42"/>
      <c r="B461" s="42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>
      <c r="A462" s="42"/>
      <c r="B462" s="42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>
      <c r="A463" s="42"/>
      <c r="B463" s="42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>
      <c r="A464" s="42"/>
      <c r="B464" s="42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>
      <c r="A465" s="42"/>
      <c r="B465" s="42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>
      <c r="A466" s="42"/>
      <c r="B466" s="42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>
      <c r="A467" s="42"/>
      <c r="B467" s="42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>
      <c r="A468" s="42"/>
      <c r="B468" s="42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>
      <c r="A469" s="42"/>
      <c r="B469" s="42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>
      <c r="A470" s="42"/>
      <c r="B470" s="42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>
      <c r="A471" s="42"/>
      <c r="B471" s="42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>
      <c r="A472" s="42"/>
      <c r="B472" s="42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>
      <c r="A473" s="42"/>
      <c r="B473" s="42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>
      <c r="A474" s="42"/>
      <c r="B474" s="42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>
      <c r="A475" s="42"/>
      <c r="B475" s="42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>
      <c r="A476" s="42"/>
      <c r="B476" s="42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>
      <c r="A477" s="42"/>
      <c r="B477" s="42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>
      <c r="A478" s="42"/>
      <c r="B478" s="42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>
      <c r="A479" s="42"/>
      <c r="B479" s="42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>
      <c r="A480" s="42"/>
      <c r="B480" s="42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>
      <c r="A481" s="42"/>
      <c r="B481" s="42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>
      <c r="A482" s="42"/>
      <c r="B482" s="42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>
      <c r="A483" s="42"/>
      <c r="B483" s="42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>
      <c r="A484" s="42"/>
      <c r="B484" s="42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>
      <c r="A485" s="42"/>
      <c r="B485" s="42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>
      <c r="A486" s="42"/>
      <c r="B486" s="42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>
      <c r="A487" s="42"/>
      <c r="B487" s="42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>
      <c r="A488" s="42"/>
      <c r="B488" s="42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>
      <c r="A489" s="42"/>
      <c r="B489" s="42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>
      <c r="A490" s="42"/>
      <c r="B490" s="42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>
      <c r="A491" s="42"/>
      <c r="B491" s="42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>
      <c r="A492" s="42"/>
      <c r="B492" s="42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>
      <c r="A493" s="42"/>
      <c r="B493" s="42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>
      <c r="A494" s="42"/>
      <c r="B494" s="42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>
      <c r="A495" s="42"/>
      <c r="B495" s="42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>
      <c r="A496" s="42"/>
      <c r="B496" s="42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>
      <c r="A497" s="42"/>
      <c r="B497" s="42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>
      <c r="A498" s="42"/>
      <c r="B498" s="42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>
      <c r="A499" s="42"/>
      <c r="B499" s="42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>
      <c r="A500" s="42"/>
      <c r="B500" s="42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>
      <c r="A501" s="42"/>
      <c r="B501" s="42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>
      <c r="A502" s="42"/>
      <c r="B502" s="42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>
      <c r="A503" s="42"/>
      <c r="B503" s="42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>
      <c r="A504" s="42"/>
      <c r="B504" s="42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>
      <c r="A505" s="42"/>
      <c r="B505" s="42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>
      <c r="A506" s="42"/>
      <c r="B506" s="42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>
      <c r="A507" s="42"/>
      <c r="B507" s="42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>
      <c r="A508" s="42"/>
      <c r="B508" s="42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>
      <c r="A509" s="42"/>
      <c r="B509" s="42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>
      <c r="A510" s="42"/>
      <c r="B510" s="42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>
      <c r="A511" s="42"/>
      <c r="B511" s="42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>
      <c r="A512" s="42"/>
      <c r="B512" s="42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>
      <c r="A513" s="42"/>
      <c r="B513" s="42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>
      <c r="A514" s="42"/>
      <c r="B514" s="42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>
      <c r="A515" s="42"/>
      <c r="B515" s="42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>
      <c r="A516" s="42"/>
      <c r="B516" s="42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>
      <c r="A517" s="42"/>
      <c r="B517" s="42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>
      <c r="A518" s="42"/>
      <c r="B518" s="42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>
      <c r="A519" s="42"/>
      <c r="B519" s="42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>
      <c r="A520" s="42"/>
      <c r="B520" s="42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>
      <c r="A521" s="42"/>
      <c r="B521" s="42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>
      <c r="A522" s="42"/>
      <c r="B522" s="42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>
      <c r="A523" s="42"/>
      <c r="B523" s="42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>
      <c r="A524" s="42"/>
      <c r="B524" s="42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>
      <c r="A525" s="42"/>
      <c r="B525" s="42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>
      <c r="A526" s="42"/>
      <c r="B526" s="42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>
      <c r="A527" s="42"/>
      <c r="B527" s="42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>
      <c r="A528" s="42"/>
      <c r="B528" s="42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>
      <c r="A529" s="42"/>
      <c r="B529" s="42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>
      <c r="A530" s="42"/>
      <c r="B530" s="42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>
      <c r="A531" s="42"/>
      <c r="B531" s="42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>
      <c r="A532" s="42"/>
      <c r="B532" s="42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>
      <c r="A533" s="42"/>
      <c r="B533" s="42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>
      <c r="A534" s="42"/>
      <c r="B534" s="42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>
      <c r="A535" s="42"/>
      <c r="B535" s="42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>
      <c r="A536" s="42"/>
      <c r="B536" s="42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>
      <c r="A537" s="42"/>
      <c r="B537" s="42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>
      <c r="A538" s="42"/>
      <c r="B538" s="42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>
      <c r="A539" s="42"/>
      <c r="B539" s="42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>
      <c r="A540" s="42"/>
      <c r="B540" s="42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>
      <c r="A541" s="42"/>
      <c r="B541" s="42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>
      <c r="A542" s="42"/>
      <c r="B542" s="42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>
      <c r="A543" s="42"/>
      <c r="B543" s="42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>
      <c r="A544" s="42"/>
      <c r="B544" s="42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>
      <c r="A545" s="42"/>
      <c r="B545" s="42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>
      <c r="A546" s="42"/>
      <c r="B546" s="42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>
      <c r="A547" s="42"/>
      <c r="B547" s="42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>
      <c r="A548" s="42"/>
      <c r="B548" s="42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>
      <c r="A549" s="42"/>
      <c r="B549" s="42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>
      <c r="A550" s="42"/>
      <c r="B550" s="42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>
      <c r="A551" s="42"/>
      <c r="B551" s="42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>
      <c r="A552" s="42"/>
      <c r="B552" s="42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>
      <c r="A553" s="42"/>
      <c r="B553" s="42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>
      <c r="A554" s="42"/>
      <c r="B554" s="42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>
      <c r="A555" s="42"/>
      <c r="B555" s="42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>
      <c r="A556" s="42"/>
      <c r="B556" s="42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>
      <c r="A557" s="42"/>
      <c r="B557" s="42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>
      <c r="A558" s="42"/>
      <c r="B558" s="42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>
      <c r="A559" s="42"/>
      <c r="B559" s="42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>
      <c r="A560" s="42"/>
      <c r="B560" s="42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>
      <c r="A561" s="42"/>
      <c r="B561" s="42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>
      <c r="A562" s="42"/>
      <c r="B562" s="42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>
      <c r="A563" s="42"/>
      <c r="B563" s="42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>
      <c r="A564" s="42"/>
      <c r="B564" s="42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>
      <c r="A565" s="42"/>
      <c r="B565" s="42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>
      <c r="A566" s="42"/>
      <c r="B566" s="42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>
      <c r="A567" s="42"/>
      <c r="B567" s="42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>
      <c r="A568" s="42"/>
      <c r="B568" s="42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>
      <c r="A569" s="42"/>
      <c r="B569" s="42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>
      <c r="A570" s="42"/>
      <c r="B570" s="42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>
      <c r="A571" s="42"/>
      <c r="B571" s="42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>
      <c r="A572" s="42"/>
      <c r="B572" s="42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>
      <c r="A573" s="42"/>
      <c r="B573" s="42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>
      <c r="A574" s="42"/>
      <c r="B574" s="42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>
      <c r="A575" s="42"/>
      <c r="B575" s="42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>
      <c r="A576" s="42"/>
      <c r="B576" s="42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>
      <c r="A577" s="42"/>
      <c r="B577" s="42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>
      <c r="A578" s="42"/>
      <c r="B578" s="42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>
      <c r="A579" s="42"/>
      <c r="B579" s="42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>
      <c r="A580" s="42"/>
      <c r="B580" s="42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>
      <c r="A581" s="42"/>
      <c r="B581" s="42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>
      <c r="A582" s="42"/>
      <c r="B582" s="42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>
      <c r="A583" s="42"/>
      <c r="B583" s="42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>
      <c r="A584" s="42"/>
      <c r="B584" s="42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>
      <c r="A585" s="42"/>
      <c r="B585" s="42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>
      <c r="A586" s="42"/>
      <c r="B586" s="42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>
      <c r="A587" s="42"/>
      <c r="B587" s="42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>
      <c r="A588" s="42"/>
      <c r="B588" s="42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>
      <c r="A589" s="42"/>
      <c r="B589" s="42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>
      <c r="A590" s="42"/>
      <c r="B590" s="42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>
      <c r="A591" s="42"/>
      <c r="B591" s="42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>
      <c r="A592" s="42"/>
      <c r="B592" s="42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>
      <c r="A593" s="42"/>
      <c r="B593" s="42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>
      <c r="A594" s="42"/>
      <c r="B594" s="42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>
      <c r="A595" s="42"/>
      <c r="B595" s="42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>
      <c r="A596" s="42"/>
      <c r="B596" s="42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>
      <c r="A597" s="42"/>
      <c r="B597" s="42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>
      <c r="A598" s="42"/>
      <c r="B598" s="42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>
      <c r="A599" s="42"/>
      <c r="B599" s="42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>
      <c r="A600" s="42"/>
      <c r="B600" s="42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>
      <c r="A601" s="42"/>
      <c r="B601" s="42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>
      <c r="A602" s="42"/>
      <c r="B602" s="42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>
      <c r="A603" s="42"/>
      <c r="B603" s="42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>
      <c r="A604" s="42"/>
      <c r="B604" s="42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>
      <c r="A605" s="42"/>
      <c r="B605" s="42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>
      <c r="A606" s="42"/>
      <c r="B606" s="42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>
      <c r="A607" s="42"/>
      <c r="B607" s="42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>
      <c r="A608" s="42"/>
      <c r="B608" s="42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>
      <c r="A609" s="42"/>
      <c r="B609" s="42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>
      <c r="A610" s="42"/>
      <c r="B610" s="42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>
      <c r="A611" s="42"/>
      <c r="B611" s="42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>
      <c r="A612" s="42"/>
      <c r="B612" s="42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>
      <c r="A613" s="42"/>
      <c r="B613" s="42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>
      <c r="A614" s="42"/>
      <c r="B614" s="42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>
      <c r="A615" s="42"/>
      <c r="B615" s="42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>
      <c r="A616" s="42"/>
      <c r="B616" s="42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>
      <c r="A617" s="42"/>
      <c r="B617" s="42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>
      <c r="A618" s="42"/>
      <c r="B618" s="42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>
      <c r="A619" s="42"/>
      <c r="B619" s="42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>
      <c r="A620" s="42"/>
      <c r="B620" s="42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>
      <c r="A621" s="42"/>
      <c r="B621" s="42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>
      <c r="A622" s="42"/>
      <c r="B622" s="42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>
      <c r="A623" s="42"/>
      <c r="B623" s="42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>
      <c r="A624" s="42"/>
      <c r="B624" s="42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>
      <c r="A625" s="42"/>
      <c r="B625" s="42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>
      <c r="A626" s="42"/>
      <c r="B626" s="42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>
      <c r="A627" s="42"/>
      <c r="B627" s="42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>
      <c r="A628" s="42"/>
      <c r="B628" s="42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>
      <c r="A629" s="42"/>
      <c r="B629" s="42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>
      <c r="A630" s="42"/>
      <c r="B630" s="42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>
      <c r="A631" s="42"/>
      <c r="B631" s="42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>
      <c r="A632" s="42"/>
      <c r="B632" s="42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>
      <c r="A633" s="42"/>
      <c r="B633" s="42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>
      <c r="A634" s="42"/>
      <c r="B634" s="42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>
      <c r="A635" s="42"/>
      <c r="B635" s="42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>
      <c r="A636" s="42"/>
      <c r="B636" s="42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>
      <c r="A637" s="42"/>
      <c r="B637" s="42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>
      <c r="A638" s="42"/>
      <c r="B638" s="42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>
      <c r="A639" s="42"/>
      <c r="B639" s="42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>
      <c r="A640" s="42"/>
      <c r="B640" s="42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>
      <c r="A641" s="42"/>
      <c r="B641" s="42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>
      <c r="A642" s="42"/>
      <c r="B642" s="42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>
      <c r="A643" s="42"/>
      <c r="B643" s="42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>
      <c r="A644" s="42"/>
      <c r="B644" s="42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>
      <c r="A645" s="42"/>
      <c r="B645" s="42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>
      <c r="A646" s="42"/>
      <c r="B646" s="42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>
      <c r="A647" s="42"/>
      <c r="B647" s="42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>
      <c r="A648" s="42"/>
      <c r="B648" s="42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>
      <c r="A649" s="42"/>
      <c r="B649" s="42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>
      <c r="A650" s="42"/>
      <c r="B650" s="42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>
      <c r="A651" s="42"/>
      <c r="B651" s="42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>
      <c r="A652" s="42"/>
      <c r="B652" s="42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>
      <c r="A653" s="42"/>
      <c r="B653" s="42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>
      <c r="A654" s="42"/>
      <c r="B654" s="42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>
      <c r="A655" s="42"/>
      <c r="B655" s="42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>
      <c r="A656" s="42"/>
      <c r="B656" s="42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>
      <c r="A657" s="42"/>
      <c r="B657" s="42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>
      <c r="A658" s="42"/>
      <c r="B658" s="42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>
      <c r="A659" s="42"/>
      <c r="B659" s="42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>
      <c r="A660" s="42"/>
      <c r="B660" s="42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>
      <c r="A661" s="42"/>
      <c r="B661" s="42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>
      <c r="A662" s="42"/>
      <c r="B662" s="42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>
      <c r="A663" s="42"/>
      <c r="B663" s="42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>
      <c r="A664" s="42"/>
      <c r="B664" s="42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>
      <c r="A665" s="42"/>
      <c r="B665" s="42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>
      <c r="A666" s="42"/>
      <c r="B666" s="42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>
      <c r="A667" s="42"/>
      <c r="B667" s="42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>
      <c r="A668" s="42"/>
      <c r="B668" s="42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>
      <c r="A669" s="42"/>
      <c r="B669" s="42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>
      <c r="A670" s="42"/>
      <c r="B670" s="42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>
      <c r="A671" s="42"/>
      <c r="B671" s="42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>
      <c r="A672" s="42"/>
      <c r="B672" s="42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>
      <c r="A673" s="42"/>
      <c r="B673" s="42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>
      <c r="A674" s="42"/>
      <c r="B674" s="42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>
      <c r="A675" s="42"/>
      <c r="B675" s="42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>
      <c r="A676" s="42"/>
      <c r="B676" s="42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>
      <c r="A677" s="42"/>
      <c r="B677" s="42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>
      <c r="A678" s="42"/>
      <c r="B678" s="42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>
      <c r="A679" s="42"/>
      <c r="B679" s="42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>
      <c r="A680" s="42"/>
      <c r="B680" s="42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>
      <c r="A681" s="42"/>
      <c r="B681" s="42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>
      <c r="A682" s="42"/>
      <c r="B682" s="42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>
      <c r="A683" s="42"/>
      <c r="B683" s="42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>
      <c r="A684" s="42"/>
      <c r="B684" s="42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>
      <c r="A685" s="42"/>
      <c r="B685" s="42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>
      <c r="A686" s="42"/>
      <c r="B686" s="42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>
      <c r="A687" s="42"/>
      <c r="B687" s="42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>
      <c r="A688" s="42"/>
      <c r="B688" s="42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>
      <c r="A689" s="42"/>
      <c r="B689" s="42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>
      <c r="A690" s="42"/>
      <c r="B690" s="42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>
      <c r="A691" s="42"/>
      <c r="B691" s="42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>
      <c r="A692" s="42"/>
      <c r="B692" s="42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>
      <c r="A693" s="42"/>
      <c r="B693" s="42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>
      <c r="A694" s="42"/>
      <c r="B694" s="42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>
      <c r="A695" s="42"/>
      <c r="B695" s="42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>
      <c r="A696" s="42"/>
      <c r="B696" s="42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>
      <c r="A697" s="42"/>
      <c r="B697" s="42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>
      <c r="A698" s="42"/>
      <c r="B698" s="42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>
      <c r="A699" s="42"/>
      <c r="B699" s="42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>
      <c r="A700" s="42"/>
      <c r="B700" s="42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>
      <c r="A701" s="42"/>
      <c r="B701" s="42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>
      <c r="A702" s="42"/>
      <c r="B702" s="42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>
      <c r="A703" s="42"/>
      <c r="B703" s="42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>
      <c r="A704" s="42"/>
      <c r="B704" s="42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>
      <c r="A705" s="42"/>
      <c r="B705" s="42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>
      <c r="A706" s="42"/>
      <c r="B706" s="42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>
      <c r="A707" s="42"/>
      <c r="B707" s="42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>
      <c r="A708" s="42"/>
      <c r="B708" s="42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>
      <c r="A709" s="42"/>
      <c r="B709" s="42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>
      <c r="A710" s="42"/>
      <c r="B710" s="42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>
      <c r="A711" s="42"/>
      <c r="B711" s="42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>
      <c r="A712" s="42"/>
      <c r="B712" s="42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>
      <c r="A713" s="42"/>
      <c r="B713" s="42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>
      <c r="A714" s="42"/>
      <c r="B714" s="42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>
      <c r="A715" s="42"/>
      <c r="B715" s="42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>
      <c r="A716" s="42"/>
      <c r="B716" s="42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>
      <c r="A717" s="42"/>
      <c r="B717" s="42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>
      <c r="A718" s="42"/>
      <c r="B718" s="42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>
      <c r="A719" s="42"/>
      <c r="B719" s="42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>
      <c r="A720" s="42"/>
      <c r="B720" s="42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>
      <c r="A721" s="42"/>
      <c r="B721" s="42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>
      <c r="A722" s="42"/>
      <c r="B722" s="42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>
      <c r="A723" s="42"/>
      <c r="B723" s="42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>
      <c r="A724" s="42"/>
      <c r="B724" s="42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>
      <c r="A725" s="42"/>
      <c r="B725" s="42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>
      <c r="A726" s="42"/>
      <c r="B726" s="42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>
      <c r="A727" s="42"/>
      <c r="B727" s="42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>
      <c r="A728" s="42"/>
      <c r="B728" s="42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>
      <c r="A729" s="42"/>
      <c r="B729" s="42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>
      <c r="A730" s="42"/>
      <c r="B730" s="42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>
      <c r="A731" s="42"/>
      <c r="B731" s="42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>
      <c r="A732" s="42"/>
      <c r="B732" s="42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>
      <c r="A733" s="42"/>
      <c r="B733" s="42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>
      <c r="A734" s="42"/>
      <c r="B734" s="42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>
      <c r="A735" s="42"/>
      <c r="B735" s="42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>
      <c r="A736" s="42"/>
      <c r="B736" s="42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>
      <c r="A737" s="42"/>
      <c r="B737" s="42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>
      <c r="A738" s="42"/>
      <c r="B738" s="42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>
      <c r="A739" s="42"/>
      <c r="B739" s="42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>
      <c r="A740" s="42"/>
      <c r="B740" s="42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>
      <c r="A741" s="42"/>
      <c r="B741" s="42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>
      <c r="A742" s="42"/>
      <c r="B742" s="42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>
      <c r="A743" s="42"/>
      <c r="B743" s="42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>
      <c r="A744" s="42"/>
      <c r="B744" s="42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>
      <c r="A745" s="42"/>
      <c r="B745" s="42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>
      <c r="A746" s="42"/>
      <c r="B746" s="42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>
      <c r="A747" s="42"/>
      <c r="B747" s="42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>
      <c r="A748" s="42"/>
      <c r="B748" s="42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>
      <c r="A749" s="42"/>
      <c r="B749" s="42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>
      <c r="A750" s="42"/>
      <c r="B750" s="42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>
      <c r="A751" s="42"/>
      <c r="B751" s="42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>
      <c r="A752" s="42"/>
      <c r="B752" s="42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>
      <c r="A753" s="42"/>
      <c r="B753" s="42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>
      <c r="A754" s="42"/>
      <c r="B754" s="42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>
      <c r="A755" s="42"/>
      <c r="B755" s="42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>
      <c r="A756" s="42"/>
      <c r="B756" s="42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>
      <c r="A757" s="42"/>
      <c r="B757" s="42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>
      <c r="A758" s="42"/>
      <c r="B758" s="42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>
      <c r="A759" s="42"/>
      <c r="B759" s="42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>
      <c r="A760" s="42"/>
      <c r="B760" s="42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>
      <c r="A761" s="42"/>
      <c r="B761" s="42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>
      <c r="A762" s="42"/>
      <c r="B762" s="42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>
      <c r="A763" s="42"/>
      <c r="B763" s="42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>
      <c r="A764" s="42"/>
      <c r="B764" s="42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>
      <c r="A765" s="42"/>
      <c r="B765" s="42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>
      <c r="A766" s="42"/>
      <c r="B766" s="42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>
      <c r="A767" s="42"/>
      <c r="B767" s="42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>
      <c r="A768" s="42"/>
      <c r="B768" s="42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>
      <c r="A769" s="42"/>
      <c r="B769" s="42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>
      <c r="A770" s="42"/>
      <c r="B770" s="42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>
      <c r="A771" s="42"/>
      <c r="B771" s="42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>
      <c r="A772" s="42"/>
      <c r="B772" s="42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>
      <c r="A773" s="42"/>
      <c r="B773" s="42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>
      <c r="A774" s="42"/>
      <c r="B774" s="42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>
      <c r="A775" s="42"/>
      <c r="B775" s="42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>
      <c r="A776" s="42"/>
      <c r="B776" s="42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>
      <c r="A777" s="42"/>
      <c r="B777" s="42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>
      <c r="A778" s="42"/>
      <c r="B778" s="42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>
      <c r="A779" s="42"/>
      <c r="B779" s="42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>
      <c r="A780" s="42"/>
      <c r="B780" s="42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>
      <c r="A781" s="42"/>
      <c r="B781" s="42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>
      <c r="A782" s="42"/>
      <c r="B782" s="42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>
      <c r="A783" s="42"/>
      <c r="B783" s="42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>
      <c r="A784" s="42"/>
      <c r="B784" s="42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>
      <c r="A785" s="42"/>
      <c r="B785" s="42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>
      <c r="A786" s="42"/>
      <c r="B786" s="42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>
      <c r="A787" s="42"/>
      <c r="B787" s="42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>
      <c r="A788" s="42"/>
      <c r="B788" s="42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>
      <c r="A789" s="42"/>
      <c r="B789" s="42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>
      <c r="A790" s="42"/>
      <c r="B790" s="42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>
      <c r="A791" s="42"/>
      <c r="B791" s="42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>
      <c r="A792" s="42"/>
      <c r="B792" s="42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>
      <c r="A793" s="42"/>
      <c r="B793" s="42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>
      <c r="A794" s="42"/>
      <c r="B794" s="42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>
      <c r="A795" s="42"/>
      <c r="B795" s="42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>
      <c r="A796" s="42"/>
      <c r="B796" s="42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>
      <c r="A797" s="42"/>
      <c r="B797" s="42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>
      <c r="A798" s="42"/>
      <c r="B798" s="42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>
      <c r="A799" s="42"/>
      <c r="B799" s="42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>
      <c r="A800" s="42"/>
      <c r="B800" s="42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>
      <c r="A801" s="42"/>
      <c r="B801" s="42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>
      <c r="A802" s="42"/>
      <c r="B802" s="42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>
      <c r="A803" s="42"/>
      <c r="B803" s="42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>
      <c r="A804" s="42"/>
      <c r="B804" s="42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>
      <c r="A805" s="42"/>
      <c r="B805" s="42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>
      <c r="A806" s="42"/>
      <c r="B806" s="42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>
      <c r="A807" s="42"/>
      <c r="B807" s="42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>
      <c r="A808" s="42"/>
      <c r="B808" s="42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>
      <c r="A809" s="42"/>
      <c r="B809" s="42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>
      <c r="A810" s="42"/>
      <c r="B810" s="42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>
      <c r="A811" s="42"/>
      <c r="B811" s="42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>
      <c r="A812" s="42"/>
      <c r="B812" s="42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>
      <c r="A813" s="42"/>
      <c r="B813" s="42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>
      <c r="A814" s="42"/>
      <c r="B814" s="42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>
      <c r="A815" s="42"/>
      <c r="B815" s="42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>
      <c r="A816" s="42"/>
      <c r="B816" s="42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>
      <c r="A817" s="42"/>
      <c r="B817" s="42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>
      <c r="A818" s="42"/>
      <c r="B818" s="42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>
      <c r="A819" s="42"/>
      <c r="B819" s="42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>
      <c r="A820" s="42"/>
      <c r="B820" s="42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>
      <c r="A821" s="42"/>
      <c r="B821" s="42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>
      <c r="A822" s="42"/>
      <c r="B822" s="42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>
      <c r="A823" s="42"/>
      <c r="B823" s="42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>
      <c r="A824" s="42"/>
      <c r="B824" s="42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>
      <c r="A825" s="42"/>
      <c r="B825" s="42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>
      <c r="A826" s="42"/>
      <c r="B826" s="42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>
      <c r="A827" s="42"/>
      <c r="B827" s="42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>
      <c r="A828" s="42"/>
      <c r="B828" s="42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>
      <c r="A829" s="42"/>
      <c r="B829" s="42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>
      <c r="A830" s="42"/>
      <c r="B830" s="42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>
      <c r="A831" s="42"/>
      <c r="B831" s="42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>
      <c r="A832" s="42"/>
      <c r="B832" s="42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>
      <c r="A833" s="42"/>
      <c r="B833" s="42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>
      <c r="A834" s="42"/>
      <c r="B834" s="42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>
      <c r="A835" s="42"/>
      <c r="B835" s="42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>
      <c r="A836" s="42"/>
      <c r="B836" s="42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>
      <c r="A837" s="42"/>
      <c r="B837" s="42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>
      <c r="A838" s="42"/>
      <c r="B838" s="42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>
      <c r="A839" s="42"/>
      <c r="B839" s="42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>
      <c r="A840" s="42"/>
      <c r="B840" s="42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>
      <c r="A841" s="42"/>
      <c r="B841" s="42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>
      <c r="A842" s="42"/>
      <c r="B842" s="42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>
      <c r="A843" s="42"/>
      <c r="B843" s="42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>
      <c r="A844" s="42"/>
      <c r="B844" s="42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>
      <c r="A845" s="42"/>
      <c r="B845" s="42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>
      <c r="A846" s="42"/>
      <c r="B846" s="42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>
      <c r="A847" s="42"/>
      <c r="B847" s="42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>
      <c r="A848" s="42"/>
      <c r="B848" s="42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>
      <c r="A849" s="42"/>
      <c r="B849" s="42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>
      <c r="A850" s="42"/>
      <c r="B850" s="42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>
      <c r="A851" s="42"/>
      <c r="B851" s="42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>
      <c r="A852" s="42"/>
      <c r="B852" s="42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>
      <c r="A853" s="42"/>
      <c r="B853" s="42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>
      <c r="A854" s="42"/>
      <c r="B854" s="42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>
      <c r="A855" s="42"/>
      <c r="B855" s="42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>
      <c r="A856" s="42"/>
      <c r="B856" s="42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>
      <c r="A857" s="42"/>
      <c r="B857" s="42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>
      <c r="A858" s="42"/>
      <c r="B858" s="42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>
      <c r="A859" s="42"/>
      <c r="B859" s="42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>
      <c r="A860" s="42"/>
      <c r="B860" s="42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>
      <c r="A861" s="42"/>
      <c r="B861" s="42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>
      <c r="A862" s="42"/>
      <c r="B862" s="42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>
      <c r="A863" s="42"/>
      <c r="B863" s="42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>
      <c r="A864" s="42"/>
      <c r="B864" s="42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>
      <c r="A865" s="42"/>
      <c r="B865" s="42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>
      <c r="A866" s="42"/>
      <c r="B866" s="42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>
      <c r="A867" s="42"/>
      <c r="B867" s="42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>
      <c r="A868" s="42"/>
      <c r="B868" s="42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>
      <c r="A869" s="42"/>
      <c r="B869" s="42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>
      <c r="A870" s="42"/>
      <c r="B870" s="42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>
      <c r="A871" s="42"/>
      <c r="B871" s="42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>
      <c r="A872" s="42"/>
      <c r="B872" s="42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>
      <c r="A873" s="42"/>
      <c r="B873" s="42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>
      <c r="A874" s="42"/>
      <c r="B874" s="42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>
      <c r="A875" s="42"/>
      <c r="B875" s="42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>
      <c r="A876" s="42"/>
      <c r="B876" s="42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>
      <c r="A877" s="42"/>
      <c r="B877" s="42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>
      <c r="A878" s="42"/>
      <c r="B878" s="42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>
      <c r="A879" s="42"/>
      <c r="B879" s="42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>
      <c r="A880" s="42"/>
      <c r="B880" s="42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>
      <c r="A881" s="42"/>
      <c r="B881" s="42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>
      <c r="A882" s="42"/>
      <c r="B882" s="42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>
      <c r="A883" s="42"/>
      <c r="B883" s="42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>
      <c r="A884" s="42"/>
      <c r="B884" s="42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>
      <c r="A885" s="42"/>
      <c r="B885" s="42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>
      <c r="A886" s="42"/>
      <c r="B886" s="42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>
      <c r="A887" s="42"/>
      <c r="B887" s="42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>
      <c r="A888" s="42"/>
      <c r="B888" s="42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>
      <c r="A889" s="42"/>
      <c r="B889" s="42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>
      <c r="A890" s="42"/>
      <c r="B890" s="42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>
      <c r="A891" s="42"/>
      <c r="B891" s="42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>
      <c r="A892" s="42"/>
      <c r="B892" s="42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>
      <c r="A893" s="42"/>
      <c r="B893" s="42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>
      <c r="A894" s="42"/>
      <c r="B894" s="42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>
      <c r="A895" s="42"/>
      <c r="B895" s="42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>
      <c r="A896" s="42"/>
      <c r="B896" s="42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>
      <c r="A897" s="42"/>
      <c r="B897" s="42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>
      <c r="A898" s="42"/>
      <c r="B898" s="42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>
      <c r="A899" s="42"/>
      <c r="B899" s="42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>
      <c r="A900" s="42"/>
      <c r="B900" s="42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>
      <c r="A901" s="42"/>
      <c r="B901" s="42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>
      <c r="A902" s="42"/>
      <c r="B902" s="42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>
      <c r="A903" s="42"/>
      <c r="B903" s="42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>
      <c r="A904" s="42"/>
      <c r="B904" s="42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>
      <c r="A905" s="42"/>
      <c r="B905" s="42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>
      <c r="A906" s="42"/>
      <c r="B906" s="42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>
      <c r="A907" s="42"/>
      <c r="B907" s="42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>
      <c r="A908" s="42"/>
      <c r="B908" s="42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>
      <c r="A909" s="42"/>
      <c r="B909" s="42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>
      <c r="A910" s="42"/>
      <c r="B910" s="42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>
      <c r="A911" s="42"/>
      <c r="B911" s="42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>
      <c r="A912" s="42"/>
      <c r="B912" s="42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>
      <c r="A913" s="42"/>
      <c r="B913" s="42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>
      <c r="A914" s="42"/>
      <c r="B914" s="42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>
      <c r="A915" s="42"/>
      <c r="B915" s="42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>
      <c r="A916" s="42"/>
      <c r="B916" s="42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>
      <c r="A917" s="42"/>
      <c r="B917" s="42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>
      <c r="A918" s="42"/>
      <c r="B918" s="42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>
      <c r="A919" s="42"/>
      <c r="B919" s="42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>
      <c r="A920" s="42"/>
      <c r="B920" s="42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>
      <c r="A921" s="42"/>
      <c r="B921" s="42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>
      <c r="A922" s="42"/>
      <c r="B922" s="42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>
      <c r="A923" s="42"/>
      <c r="B923" s="42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>
      <c r="A924" s="42"/>
      <c r="B924" s="42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>
      <c r="A925" s="42"/>
      <c r="B925" s="42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>
      <c r="A926" s="42"/>
      <c r="B926" s="42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>
      <c r="A927" s="42"/>
      <c r="B927" s="42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>
      <c r="A928" s="42"/>
      <c r="B928" s="42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>
      <c r="A929" s="42"/>
      <c r="B929" s="42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>
      <c r="A930" s="42"/>
      <c r="B930" s="42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>
      <c r="A931" s="42"/>
      <c r="B931" s="42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>
      <c r="A932" s="42"/>
      <c r="B932" s="42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>
      <c r="A933" s="42"/>
      <c r="B933" s="42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>
      <c r="A934" s="42"/>
      <c r="B934" s="42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>
      <c r="A935" s="42"/>
      <c r="B935" s="42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>
      <c r="A936" s="42"/>
      <c r="B936" s="42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>
      <c r="A937" s="42"/>
      <c r="B937" s="42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>
      <c r="A938" s="42"/>
      <c r="B938" s="42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>
      <c r="A939" s="42"/>
      <c r="B939" s="42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>
      <c r="A940" s="42"/>
      <c r="B940" s="42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>
      <c r="A941" s="42"/>
      <c r="B941" s="42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>
      <c r="A942" s="42"/>
      <c r="B942" s="42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>
      <c r="A943" s="42"/>
      <c r="B943" s="42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>
      <c r="A944" s="42"/>
      <c r="B944" s="42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>
      <c r="A945" s="42"/>
      <c r="B945" s="42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>
      <c r="A946" s="42"/>
      <c r="B946" s="42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>
      <c r="A947" s="42"/>
      <c r="B947" s="42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>
      <c r="A948" s="42"/>
      <c r="B948" s="42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>
      <c r="A949" s="42"/>
      <c r="B949" s="42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>
      <c r="A950" s="42"/>
      <c r="B950" s="42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>
      <c r="A951" s="42"/>
      <c r="B951" s="42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>
      <c r="A952" s="42"/>
      <c r="B952" s="42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>
      <c r="A953" s="42"/>
      <c r="B953" s="42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>
      <c r="A954" s="42"/>
      <c r="B954" s="42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>
      <c r="A955" s="42"/>
      <c r="B955" s="42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>
      <c r="A956" s="42"/>
      <c r="B956" s="42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>
      <c r="A957" s="42"/>
      <c r="B957" s="42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>
      <c r="A958" s="42"/>
      <c r="B958" s="42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>
      <c r="A959" s="42"/>
      <c r="B959" s="42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>
      <c r="A960" s="42"/>
      <c r="B960" s="42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>
      <c r="A961" s="42"/>
      <c r="B961" s="42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>
      <c r="A962" s="42"/>
      <c r="B962" s="42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>
      <c r="A963" s="42"/>
      <c r="B963" s="42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>
      <c r="A964" s="42"/>
      <c r="B964" s="42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>
      <c r="A965" s="42"/>
      <c r="B965" s="42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>
      <c r="A966" s="42"/>
      <c r="B966" s="42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>
      <c r="A967" s="42"/>
      <c r="B967" s="42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>
      <c r="A968" s="42"/>
      <c r="B968" s="42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>
      <c r="A969" s="42"/>
      <c r="B969" s="42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>
      <c r="A970" s="42"/>
      <c r="B970" s="42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>
      <c r="A971" s="42"/>
      <c r="B971" s="42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>
      <c r="A972" s="42"/>
      <c r="B972" s="42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>
      <c r="A973" s="42"/>
      <c r="B973" s="42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>
      <c r="A974" s="42"/>
      <c r="B974" s="42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>
      <c r="A975" s="42"/>
      <c r="B975" s="42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>
      <c r="A976" s="42"/>
      <c r="B976" s="42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>
      <c r="A977" s="42"/>
      <c r="B977" s="42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>
      <c r="A978" s="42"/>
      <c r="B978" s="42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>
      <c r="A979" s="42"/>
      <c r="B979" s="42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>
      <c r="A980" s="42"/>
      <c r="B980" s="42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>
      <c r="A981" s="42"/>
      <c r="B981" s="42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>
      <c r="A982" s="42"/>
      <c r="B982" s="42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>
      <c r="A983" s="42"/>
      <c r="B983" s="42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>
      <c r="A984" s="42"/>
      <c r="B984" s="42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>
      <c r="A985" s="42"/>
      <c r="B985" s="42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>
      <c r="A986" s="42"/>
      <c r="B986" s="42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>
      <c r="A987" s="42"/>
      <c r="B987" s="42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>
      <c r="A988" s="42"/>
      <c r="B988" s="42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>
      <c r="A989" s="42"/>
      <c r="B989" s="42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>
      <c r="A990" s="42"/>
      <c r="B990" s="42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>
      <c r="A991" s="42"/>
      <c r="B991" s="42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</row>
    <row r="992">
      <c r="A992" s="42"/>
      <c r="B992" s="42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</row>
    <row r="993">
      <c r="A993" s="42"/>
      <c r="B993" s="42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</row>
    <row r="994">
      <c r="A994" s="42"/>
      <c r="B994" s="42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</row>
  </sheetData>
  <mergeCells count="3">
    <mergeCell ref="C1:T1"/>
    <mergeCell ref="D18:T18"/>
    <mergeCell ref="D30:T3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2.75" customHeight="1">
      <c r="A1" s="43" t="str">
        <f>Fluxo!A2</f>
        <v>TOTAL</v>
      </c>
      <c r="F1" s="43">
        <v>2.0</v>
      </c>
      <c r="G1" s="44" t="str">
        <f t="array" ref="G1:G18">TRANSPOSE(Dados!2:2)</f>
        <v/>
      </c>
    </row>
    <row r="2" ht="12.75" customHeight="1">
      <c r="F2" s="43">
        <v>3.0</v>
      </c>
      <c r="G2" s="44"/>
    </row>
    <row r="3" ht="12.75" customHeight="1">
      <c r="A3" s="44" t="str">
        <f>Dados!C3</f>
        <v>Sigismundo</v>
      </c>
      <c r="B3" s="44" t="str">
        <f>Dados!D3</f>
        <v>Quinze</v>
      </c>
      <c r="F3" s="43">
        <v>4.0</v>
      </c>
      <c r="G3" s="44" t="s">
        <v>18</v>
      </c>
      <c r="Q3" s="44">
        <f>HLOOKUP($A$1,Dados!$E$2:$T$14,F1,0)</f>
        <v>232</v>
      </c>
    </row>
    <row r="4" ht="12.75" customHeight="1">
      <c r="A4" s="44" t="str">
        <f>Dados!C4</f>
        <v>Sigismundo</v>
      </c>
      <c r="B4" s="44" t="str">
        <f>Dados!D4</f>
        <v>Kennedy</v>
      </c>
      <c r="F4" s="43">
        <v>5.0</v>
      </c>
      <c r="G4" s="44" t="s">
        <v>19</v>
      </c>
      <c r="Q4" s="44">
        <f>HLOOKUP($A$1,Dados!$E$2:$T$14,F2,0)</f>
        <v>426</v>
      </c>
    </row>
    <row r="5" ht="12.75" customHeight="1">
      <c r="A5" s="44" t="str">
        <f>Dados!C5</f>
        <v>Sigismundo</v>
      </c>
      <c r="B5" s="44" t="str">
        <f>Dados!D5</f>
        <v>Olinda</v>
      </c>
      <c r="F5" s="43">
        <v>6.0</v>
      </c>
      <c r="G5" s="44">
        <v>6.0</v>
      </c>
      <c r="Q5" s="44">
        <f>HLOOKUP($A$1,Dados!$E$2:$T$14,F3,0)</f>
        <v>157</v>
      </c>
    </row>
    <row r="6" ht="12.75" customHeight="1">
      <c r="A6" s="44" t="str">
        <f>Dados!C6</f>
        <v>Olinda</v>
      </c>
      <c r="B6" s="44" t="str">
        <f>Dados!D6</f>
        <v>Sigismundo</v>
      </c>
      <c r="F6" s="43">
        <v>7.0</v>
      </c>
      <c r="G6" s="44">
        <v>7.0</v>
      </c>
      <c r="Q6" s="44">
        <f>HLOOKUP($A$1,Dados!$E$2:$T$14,F4,0)</f>
        <v>335</v>
      </c>
    </row>
    <row r="7" ht="12.75" customHeight="1">
      <c r="A7" s="44" t="str">
        <f>Dados!C7</f>
        <v>Olinda</v>
      </c>
      <c r="B7" s="44" t="str">
        <f>Dados!D7</f>
        <v>Quinze</v>
      </c>
      <c r="F7" s="43">
        <v>8.0</v>
      </c>
      <c r="G7" s="44">
        <v>8.0</v>
      </c>
      <c r="Q7" s="44">
        <f>HLOOKUP($A$1,Dados!$E$2:$T$14,F5,0)</f>
        <v>46</v>
      </c>
    </row>
    <row r="8" ht="12.75" customHeight="1">
      <c r="A8" s="44" t="str">
        <f>Dados!C8</f>
        <v>Olinda</v>
      </c>
      <c r="B8" s="44" t="str">
        <f>Dados!D8</f>
        <v>Kennedy</v>
      </c>
      <c r="F8" s="43">
        <v>9.0</v>
      </c>
      <c r="G8" s="44">
        <v>9.0</v>
      </c>
      <c r="Q8" s="44">
        <f>HLOOKUP($A$1,Dados!$E$2:$T$14,F6,0)</f>
        <v>9</v>
      </c>
    </row>
    <row r="9" ht="12.75" customHeight="1">
      <c r="A9" s="44" t="str">
        <f>Dados!C9</f>
        <v>Kennedy</v>
      </c>
      <c r="B9" s="44" t="str">
        <f>Dados!D9</f>
        <v>Olinda</v>
      </c>
      <c r="F9" s="43">
        <v>10.0</v>
      </c>
      <c r="G9" s="44">
        <v>10.0</v>
      </c>
      <c r="Q9" s="44">
        <f>HLOOKUP($A$1,Dados!$E$2:$T$14,F7,0)</f>
        <v>33</v>
      </c>
    </row>
    <row r="10" ht="12.75" customHeight="1">
      <c r="A10" s="44" t="str">
        <f>Dados!C10</f>
        <v>Kennedy</v>
      </c>
      <c r="B10" s="44" t="str">
        <f>Dados!D10</f>
        <v>Sigismundo</v>
      </c>
      <c r="F10" s="43">
        <v>11.0</v>
      </c>
      <c r="G10" s="44">
        <v>11.0</v>
      </c>
      <c r="Q10" s="44">
        <f>HLOOKUP($A$1,Dados!$E$2:$T$14,F8,0)</f>
        <v>307</v>
      </c>
    </row>
    <row r="11" ht="12.75" customHeight="1">
      <c r="A11" s="44" t="str">
        <f>Dados!C11</f>
        <v>Kennedy</v>
      </c>
      <c r="B11" s="44" t="str">
        <f>Dados!D11</f>
        <v>Quinze</v>
      </c>
      <c r="F11" s="43">
        <v>12.0</v>
      </c>
      <c r="G11" s="44">
        <v>12.0</v>
      </c>
      <c r="Q11" s="44">
        <f>HLOOKUP($A$1,Dados!$E$2:$T$14,F9,0)</f>
        <v>158</v>
      </c>
    </row>
    <row r="12" ht="12.75" customHeight="1">
      <c r="A12" s="44" t="str">
        <f>Dados!C12</f>
        <v>Quinze</v>
      </c>
      <c r="B12" s="44" t="str">
        <f>Dados!D12</f>
        <v>Kennedy</v>
      </c>
      <c r="F12" s="43">
        <v>13.0</v>
      </c>
      <c r="G12" s="44">
        <v>13.0</v>
      </c>
      <c r="Q12" s="44">
        <f>HLOOKUP($A$1,Dados!$E$2:$T$14,F10,0)</f>
        <v>163</v>
      </c>
    </row>
    <row r="13" ht="12.75" customHeight="1">
      <c r="A13" s="44" t="str">
        <f>Dados!C13</f>
        <v>Quinze</v>
      </c>
      <c r="B13" s="44" t="str">
        <f>Dados!D13</f>
        <v>Olinda</v>
      </c>
      <c r="G13" s="44">
        <v>14.0</v>
      </c>
      <c r="Q13" s="44">
        <f>HLOOKUP($A$1,Dados!$E$2:$T$14,F11,0)</f>
        <v>76</v>
      </c>
    </row>
    <row r="14" ht="12.75" customHeight="1">
      <c r="A14" s="44" t="str">
        <f>Dados!C14</f>
        <v>Quinze</v>
      </c>
      <c r="B14" s="44" t="str">
        <f>Dados!D14</f>
        <v>Sigismundo</v>
      </c>
      <c r="G14" s="44">
        <v>15.0</v>
      </c>
      <c r="Q14" s="44">
        <f>HLOOKUP($A$1,Dados!$E$2:$T$14,F12,0)</f>
        <v>184</v>
      </c>
    </row>
    <row r="15" ht="12.75" customHeight="1">
      <c r="G15" s="44">
        <v>16.0</v>
      </c>
    </row>
    <row r="16" ht="12.75" customHeight="1">
      <c r="G16" s="44">
        <v>17.0</v>
      </c>
    </row>
    <row r="17" ht="12.75" customHeight="1">
      <c r="G17" s="44">
        <v>18.0</v>
      </c>
    </row>
    <row r="18" ht="12.75" customHeight="1">
      <c r="G18" s="45">
        <v>19.0</v>
      </c>
    </row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14"/>
    <col customWidth="1" min="2" max="15" width="7.29"/>
  </cols>
  <sheetData>
    <row r="1" ht="12.75" customHeight="1">
      <c r="A1" s="46" t="s">
        <v>47</v>
      </c>
    </row>
    <row r="2" ht="12.75" customHeight="1">
      <c r="A2" s="47" t="s">
        <v>48</v>
      </c>
      <c r="B2" s="48">
        <f>Dados!E2</f>
        <v>6</v>
      </c>
      <c r="C2" s="48">
        <f>Dados!F2</f>
        <v>7</v>
      </c>
      <c r="D2" s="48">
        <f>Dados!G2</f>
        <v>8</v>
      </c>
      <c r="E2" s="48">
        <f>Dados!H2</f>
        <v>9</v>
      </c>
      <c r="F2" s="48">
        <f>Dados!I2</f>
        <v>10</v>
      </c>
      <c r="G2" s="48">
        <f>Dados!J2</f>
        <v>11</v>
      </c>
      <c r="H2" s="48">
        <f>Dados!K2</f>
        <v>12</v>
      </c>
      <c r="I2" s="48">
        <f>Dados!L2</f>
        <v>13</v>
      </c>
      <c r="J2" s="48">
        <f>Dados!M2</f>
        <v>14</v>
      </c>
      <c r="K2" s="48">
        <f>Dados!N2</f>
        <v>15</v>
      </c>
      <c r="L2" s="48">
        <f>Dados!O2</f>
        <v>16</v>
      </c>
      <c r="M2" s="48">
        <f>Dados!P2</f>
        <v>17</v>
      </c>
      <c r="N2" s="48">
        <f>Dados!Q2</f>
        <v>18</v>
      </c>
      <c r="O2" s="48">
        <f>Dados!R2</f>
        <v>19</v>
      </c>
    </row>
    <row r="3" ht="12.75" customHeight="1">
      <c r="A3" s="49" t="s">
        <v>49</v>
      </c>
      <c r="B3" s="50">
        <f>Dados!E15-B4-B5</f>
        <v>115</v>
      </c>
      <c r="C3" s="50">
        <f>Dados!F15-C4-C5</f>
        <v>135</v>
      </c>
      <c r="D3" s="50">
        <f>Dados!G15-D4-D5</f>
        <v>155</v>
      </c>
      <c r="E3" s="50">
        <f>Dados!H15-E4-E5</f>
        <v>123</v>
      </c>
      <c r="F3" s="50">
        <f>Dados!I15-F4-F5</f>
        <v>126</v>
      </c>
      <c r="G3" s="50">
        <f>Dados!J15-G4-G5</f>
        <v>143</v>
      </c>
      <c r="H3" s="50">
        <f>Dados!K15-H4-H5</f>
        <v>108</v>
      </c>
      <c r="I3" s="50">
        <f>Dados!L15-I4-I5</f>
        <v>135</v>
      </c>
      <c r="J3" s="50">
        <f>Dados!M15-J4-J5</f>
        <v>123</v>
      </c>
      <c r="K3" s="50">
        <f>Dados!N15-K4-K5</f>
        <v>163</v>
      </c>
      <c r="L3" s="50">
        <f>Dados!O15-L4-L5</f>
        <v>191</v>
      </c>
      <c r="M3" s="50">
        <f>Dados!P15-M4-M5</f>
        <v>225</v>
      </c>
      <c r="N3" s="50">
        <f>Dados!Q15-N4-N5</f>
        <v>126</v>
      </c>
      <c r="O3" s="50">
        <f>Dados!R15-O4-O5</f>
        <v>82</v>
      </c>
    </row>
    <row r="4" ht="12.75" customHeight="1">
      <c r="A4" s="47" t="s">
        <v>50</v>
      </c>
      <c r="B4" s="48">
        <f>Dados!E20</f>
        <v>8</v>
      </c>
      <c r="C4" s="48">
        <f>Dados!F20</f>
        <v>16</v>
      </c>
      <c r="D4" s="48">
        <f>Dados!G20</f>
        <v>10</v>
      </c>
      <c r="E4" s="48">
        <f>Dados!H20</f>
        <v>7</v>
      </c>
      <c r="F4" s="48">
        <f>Dados!I20</f>
        <v>17</v>
      </c>
      <c r="G4" s="48">
        <f>Dados!J20</f>
        <v>4</v>
      </c>
      <c r="H4" s="48">
        <f>Dados!K20</f>
        <v>10</v>
      </c>
      <c r="I4" s="48">
        <f>Dados!L20</f>
        <v>5</v>
      </c>
      <c r="J4" s="51">
        <f>Dados!M20</f>
        <v>12</v>
      </c>
      <c r="K4" s="48">
        <f>Dados!N20</f>
        <v>14</v>
      </c>
      <c r="L4" s="48">
        <f>Dados!O20</f>
        <v>13</v>
      </c>
      <c r="M4" s="48">
        <f>Dados!P20</f>
        <v>13</v>
      </c>
      <c r="N4" s="48">
        <f>Dados!Q20</f>
        <v>8</v>
      </c>
      <c r="O4" s="48">
        <f>Dados!R20</f>
        <v>5</v>
      </c>
    </row>
    <row r="5" ht="12.75" customHeight="1">
      <c r="A5" s="49" t="s">
        <v>10</v>
      </c>
      <c r="B5" s="52">
        <f>Dados!E21</f>
        <v>2</v>
      </c>
      <c r="C5" s="52">
        <f>Dados!F21</f>
        <v>2</v>
      </c>
      <c r="D5" s="52">
        <f>Dados!G21</f>
        <v>0</v>
      </c>
      <c r="E5" s="52">
        <f>Dados!H21</f>
        <v>0</v>
      </c>
      <c r="F5" s="52">
        <f>Dados!I21</f>
        <v>1</v>
      </c>
      <c r="G5" s="52">
        <f>Dados!J21</f>
        <v>0</v>
      </c>
      <c r="H5" s="52">
        <f>Dados!K21</f>
        <v>2</v>
      </c>
      <c r="I5" s="52">
        <f>Dados!L21</f>
        <v>6</v>
      </c>
      <c r="J5" s="52">
        <f>Dados!M21</f>
        <v>3</v>
      </c>
      <c r="K5" s="52">
        <f>Dados!N21</f>
        <v>6</v>
      </c>
      <c r="L5" s="52">
        <f>Dados!O21</f>
        <v>3</v>
      </c>
      <c r="M5" s="52">
        <f>Dados!P21</f>
        <v>6</v>
      </c>
      <c r="N5" s="52">
        <f>Dados!Q21</f>
        <v>1</v>
      </c>
      <c r="O5" s="52">
        <f>Dados!R21</f>
        <v>2</v>
      </c>
    </row>
    <row r="6" ht="12.75" customHeight="1"/>
    <row r="7" ht="12.75" customHeight="1">
      <c r="A7" s="53" t="s">
        <v>51</v>
      </c>
    </row>
    <row r="8" ht="12.75" customHeight="1">
      <c r="A8" s="47" t="s">
        <v>52</v>
      </c>
      <c r="B8" s="48">
        <v>6.0</v>
      </c>
      <c r="C8" s="48">
        <v>7.0</v>
      </c>
      <c r="D8" s="48">
        <v>8.0</v>
      </c>
      <c r="E8" s="48">
        <v>9.0</v>
      </c>
      <c r="F8" s="48">
        <v>10.0</v>
      </c>
      <c r="G8" s="48">
        <v>11.0</v>
      </c>
      <c r="H8" s="48">
        <v>12.0</v>
      </c>
      <c r="I8" s="48">
        <v>13.0</v>
      </c>
      <c r="J8" s="48">
        <v>14.0</v>
      </c>
      <c r="K8" s="48">
        <v>15.0</v>
      </c>
      <c r="L8" s="48">
        <v>16.0</v>
      </c>
      <c r="M8" s="48">
        <v>17.0</v>
      </c>
      <c r="N8" s="48">
        <v>18.0</v>
      </c>
      <c r="O8" s="48">
        <v>19.0</v>
      </c>
    </row>
    <row r="9" ht="12.75" customHeight="1">
      <c r="A9" s="54" t="s">
        <v>50</v>
      </c>
      <c r="B9" s="55">
        <f>B4/Dados!E$15</f>
        <v>0.064</v>
      </c>
      <c r="C9" s="55">
        <f>C4/Dados!F$15</f>
        <v>0.1045751634</v>
      </c>
      <c r="D9" s="55">
        <f>D4/Dados!G$15</f>
        <v>0.06060606061</v>
      </c>
      <c r="E9" s="55">
        <f>E4/Dados!H$15</f>
        <v>0.05384615385</v>
      </c>
      <c r="F9" s="55">
        <f>F4/Dados!I$15</f>
        <v>0.1180555556</v>
      </c>
      <c r="G9" s="55">
        <f>G4/Dados!J$15</f>
        <v>0.02721088435</v>
      </c>
      <c r="H9" s="55">
        <f>H4/Dados!K$15</f>
        <v>0.08333333333</v>
      </c>
      <c r="I9" s="55">
        <f>I4/Dados!L$15</f>
        <v>0.03424657534</v>
      </c>
      <c r="J9" s="55">
        <f>J4/Dados!M$15</f>
        <v>0.08695652174</v>
      </c>
      <c r="K9" s="55">
        <f>K4/Dados!N$15</f>
        <v>0.07650273224</v>
      </c>
      <c r="L9" s="55">
        <f>L4/Dados!O$15</f>
        <v>0.06280193237</v>
      </c>
      <c r="M9" s="55">
        <f>M4/Dados!P$15</f>
        <v>0.05327868852</v>
      </c>
      <c r="N9" s="55">
        <f>N4/Dados!Q$15</f>
        <v>0.05925925926</v>
      </c>
      <c r="O9" s="55">
        <f>O4/Dados!R$15</f>
        <v>0.05617977528</v>
      </c>
    </row>
    <row r="10" ht="12.75" customHeight="1">
      <c r="A10" s="47" t="s">
        <v>10</v>
      </c>
      <c r="B10" s="56">
        <f>B5/Dados!E$15</f>
        <v>0.016</v>
      </c>
      <c r="C10" s="56">
        <f>C5/Dados!F$15</f>
        <v>0.01307189542</v>
      </c>
      <c r="D10" s="56">
        <f>D5/Dados!G$15</f>
        <v>0</v>
      </c>
      <c r="E10" s="56">
        <f>E5/Dados!H$15</f>
        <v>0</v>
      </c>
      <c r="F10" s="56">
        <f>F5/Dados!I$15</f>
        <v>0.006944444444</v>
      </c>
      <c r="G10" s="56">
        <f>G5/Dados!J$15</f>
        <v>0</v>
      </c>
      <c r="H10" s="56">
        <f>H5/Dados!K$15</f>
        <v>0.01666666667</v>
      </c>
      <c r="I10" s="56">
        <f>I5/Dados!L$15</f>
        <v>0.04109589041</v>
      </c>
      <c r="J10" s="56">
        <f>J5/Dados!M$15</f>
        <v>0.02173913043</v>
      </c>
      <c r="K10" s="56">
        <f>K5/Dados!N$15</f>
        <v>0.03278688525</v>
      </c>
      <c r="L10" s="56">
        <f>L5/Dados!O$15</f>
        <v>0.01449275362</v>
      </c>
      <c r="M10" s="56">
        <f>M5/Dados!P$15</f>
        <v>0.02459016393</v>
      </c>
      <c r="N10" s="56">
        <f>N5/Dados!Q$15</f>
        <v>0.007407407407</v>
      </c>
      <c r="O10" s="56">
        <f>O5/Dados!R$15</f>
        <v>0.02247191011</v>
      </c>
    </row>
    <row r="11" ht="12.75" customHeight="1"/>
    <row r="12" ht="12.75" customHeight="1">
      <c r="A12" s="57" t="str">
        <f>Dados!D19</f>
        <v>Característica</v>
      </c>
      <c r="B12" s="58" t="str">
        <f>Dados!T19</f>
        <v>%</v>
      </c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ht="12.75" customHeight="1">
      <c r="A13" s="57" t="str">
        <f>Dados!D20</f>
        <v>Mulher</v>
      </c>
      <c r="B13" s="58">
        <f>Dados!T20</f>
        <v>0.06679209784</v>
      </c>
    </row>
    <row r="14" ht="12.75" customHeight="1">
      <c r="A14" s="57" t="str">
        <f>Dados!D21</f>
        <v>Crianças e adolescentes</v>
      </c>
      <c r="B14" s="58">
        <f>Dados!T21</f>
        <v>0.01599247413</v>
      </c>
    </row>
    <row r="15" ht="12.75" customHeight="1">
      <c r="A15" s="57" t="str">
        <f>Dados!D22</f>
        <v>Capacete</v>
      </c>
      <c r="B15" s="58">
        <f>Dados!T22</f>
        <v>0.08231420508</v>
      </c>
    </row>
    <row r="16" ht="12.75" customHeight="1">
      <c r="A16" s="57" t="s">
        <v>12</v>
      </c>
      <c r="B16" s="58">
        <f>Dados!T23</f>
        <v>0.04891815616</v>
      </c>
    </row>
    <row r="17" ht="12.75" customHeight="1">
      <c r="A17" s="57" t="str">
        <f>Dados!D35</f>
        <v>Cargueira tradicional</v>
      </c>
      <c r="B17" s="58">
        <f>Dados!T24</f>
        <v>0.1980244591</v>
      </c>
    </row>
    <row r="18" ht="12.75" customHeight="1">
      <c r="A18" s="57" t="str">
        <f>Dados!D37</f>
        <v>Serviço</v>
      </c>
      <c r="B18" s="58">
        <f>Dados!T25</f>
        <v>0.03010348071</v>
      </c>
    </row>
    <row r="19" ht="12.75" customHeight="1">
      <c r="A19" s="57" t="str">
        <f>Dados!D39</f>
        <v>Contramão</v>
      </c>
      <c r="B19" s="58">
        <f>Dados!T26</f>
        <v>0.1585136406</v>
      </c>
    </row>
    <row r="20" ht="12.75" customHeight="1">
      <c r="A20" s="57" t="str">
        <f>Dados!D27</f>
        <v>Calçada</v>
      </c>
      <c r="B20" s="58">
        <f>Dados!T27</f>
        <v>0.1307619944</v>
      </c>
    </row>
    <row r="21" ht="12.75" customHeight="1">
      <c r="A21" s="59"/>
      <c r="B21" s="59"/>
    </row>
    <row r="22" ht="12.75" customHeight="1">
      <c r="A22" s="59"/>
      <c r="B22" s="59"/>
    </row>
    <row r="23" ht="12.75" customHeight="1">
      <c r="A23" s="59"/>
      <c r="B23" s="59"/>
    </row>
    <row r="24" ht="12.75" customHeight="1">
      <c r="A24" s="59"/>
      <c r="B24" s="59"/>
    </row>
    <row r="25" ht="12.75" customHeight="1">
      <c r="A25" s="59"/>
      <c r="B25" s="59"/>
    </row>
    <row r="26" ht="12.75" customHeight="1">
      <c r="A26" s="59"/>
      <c r="B26" s="59"/>
    </row>
    <row r="27" ht="12.75" customHeight="1">
      <c r="A27" s="59"/>
      <c r="B27" s="59"/>
    </row>
    <row r="28" ht="12.75" customHeight="1">
      <c r="A28" s="59"/>
      <c r="B28" s="59"/>
    </row>
    <row r="29" ht="12.75" customHeight="1">
      <c r="A29" s="59"/>
      <c r="B29" s="59"/>
    </row>
    <row r="30" ht="12.75" customHeight="1"/>
    <row r="31" ht="12.75" customHeight="1"/>
    <row r="32" ht="12.75" customHeight="1"/>
    <row r="33" ht="12.75" customHeight="1"/>
    <row r="34" ht="12.75" customHeight="1">
      <c r="A34" s="59"/>
      <c r="B34" s="60"/>
    </row>
    <row r="35" ht="12.75" customHeight="1">
      <c r="A35" s="59"/>
      <c r="B35" s="60"/>
    </row>
    <row r="36" ht="12.75" customHeight="1">
      <c r="A36" s="59"/>
      <c r="B36" s="60"/>
    </row>
    <row r="37" ht="12.75" customHeight="1">
      <c r="A37" s="59"/>
      <c r="B37" s="60"/>
    </row>
    <row r="38" ht="12.75" customHeight="1">
      <c r="A38" s="59"/>
      <c r="B38" s="60"/>
    </row>
    <row r="39" ht="12.75" customHeight="1">
      <c r="A39" s="59"/>
      <c r="B39" s="60"/>
    </row>
    <row r="40" ht="12.75" customHeight="1">
      <c r="A40" s="59"/>
      <c r="B40" s="60"/>
    </row>
    <row r="41" ht="12.75" customHeight="1">
      <c r="A41" s="9" t="s">
        <v>17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 ht="12.75" customHeight="1">
      <c r="A42" s="12" t="s">
        <v>18</v>
      </c>
      <c r="B42" s="12" t="s">
        <v>19</v>
      </c>
      <c r="C42" s="13">
        <v>6.0</v>
      </c>
      <c r="D42" s="13">
        <v>7.0</v>
      </c>
      <c r="E42" s="13">
        <v>8.0</v>
      </c>
      <c r="F42" s="13">
        <v>9.0</v>
      </c>
      <c r="G42" s="13">
        <v>10.0</v>
      </c>
      <c r="H42" s="13">
        <v>11.0</v>
      </c>
      <c r="I42" s="13">
        <v>12.0</v>
      </c>
      <c r="J42" s="13">
        <v>13.0</v>
      </c>
      <c r="K42" s="13">
        <v>14.0</v>
      </c>
      <c r="L42" s="13">
        <v>15.0</v>
      </c>
      <c r="M42" s="13">
        <v>16.0</v>
      </c>
      <c r="N42" s="13">
        <v>17.0</v>
      </c>
      <c r="O42" s="13">
        <v>18.0</v>
      </c>
      <c r="P42" s="13">
        <v>19.0</v>
      </c>
    </row>
    <row r="43" ht="12.75" customHeight="1">
      <c r="A43" s="17" t="s">
        <v>22</v>
      </c>
      <c r="B43" s="17" t="s">
        <v>23</v>
      </c>
      <c r="C43" s="18">
        <v>3.0</v>
      </c>
      <c r="D43" s="18">
        <v>10.0</v>
      </c>
      <c r="E43" s="18">
        <v>12.0</v>
      </c>
      <c r="F43" s="18">
        <v>14.0</v>
      </c>
      <c r="G43" s="18">
        <v>10.0</v>
      </c>
      <c r="H43" s="18">
        <v>22.0</v>
      </c>
      <c r="I43" s="19">
        <v>12.0</v>
      </c>
      <c r="J43" s="18">
        <v>15.0</v>
      </c>
      <c r="K43" s="18">
        <v>10.0</v>
      </c>
      <c r="L43" s="18">
        <v>25.0</v>
      </c>
      <c r="M43" s="18">
        <v>30.0</v>
      </c>
      <c r="N43" s="20">
        <v>46.0</v>
      </c>
      <c r="O43" s="20">
        <v>15.0</v>
      </c>
      <c r="P43" s="18">
        <v>8.0</v>
      </c>
    </row>
    <row r="44" ht="12.75" customHeight="1">
      <c r="A44" s="21" t="s">
        <v>22</v>
      </c>
      <c r="B44" s="21" t="s">
        <v>24</v>
      </c>
      <c r="C44" s="18">
        <v>31.0</v>
      </c>
      <c r="D44" s="18">
        <v>31.0</v>
      </c>
      <c r="E44" s="18">
        <v>39.0</v>
      </c>
      <c r="F44" s="18">
        <v>21.0</v>
      </c>
      <c r="G44" s="18">
        <v>28.0</v>
      </c>
      <c r="H44" s="18">
        <v>20.0</v>
      </c>
      <c r="I44" s="22">
        <v>33.0</v>
      </c>
      <c r="J44" s="18">
        <v>32.0</v>
      </c>
      <c r="K44" s="18">
        <v>31.0</v>
      </c>
      <c r="L44" s="18">
        <v>27.0</v>
      </c>
      <c r="M44" s="18">
        <v>30.0</v>
      </c>
      <c r="N44" s="20">
        <v>40.0</v>
      </c>
      <c r="O44" s="20">
        <v>44.0</v>
      </c>
      <c r="P44" s="18">
        <v>19.0</v>
      </c>
    </row>
    <row r="45" ht="12.75" customHeight="1">
      <c r="A45" s="17" t="s">
        <v>22</v>
      </c>
      <c r="B45" s="17" t="s">
        <v>25</v>
      </c>
      <c r="C45" s="18">
        <v>4.0</v>
      </c>
      <c r="D45" s="18">
        <v>11.0</v>
      </c>
      <c r="E45" s="18">
        <v>6.0</v>
      </c>
      <c r="F45" s="18">
        <v>8.0</v>
      </c>
      <c r="G45" s="18">
        <v>11.0</v>
      </c>
      <c r="H45" s="18">
        <v>12.0</v>
      </c>
      <c r="I45" s="19">
        <v>3.0</v>
      </c>
      <c r="J45" s="18">
        <v>13.0</v>
      </c>
      <c r="K45" s="18">
        <v>10.0</v>
      </c>
      <c r="L45" s="18">
        <v>15.0</v>
      </c>
      <c r="M45" s="18">
        <v>25.0</v>
      </c>
      <c r="N45" s="20">
        <v>34.0</v>
      </c>
      <c r="O45" s="20">
        <v>0.0</v>
      </c>
      <c r="P45" s="18">
        <v>5.0</v>
      </c>
    </row>
    <row r="46" ht="12.75" customHeight="1">
      <c r="A46" s="21" t="s">
        <v>25</v>
      </c>
      <c r="B46" s="21" t="s">
        <v>22</v>
      </c>
      <c r="C46" s="18">
        <v>15.0</v>
      </c>
      <c r="D46" s="18">
        <v>23.0</v>
      </c>
      <c r="E46" s="18">
        <v>43.0</v>
      </c>
      <c r="F46" s="18">
        <v>26.0</v>
      </c>
      <c r="G46" s="18">
        <v>22.0</v>
      </c>
      <c r="H46" s="18">
        <v>27.0</v>
      </c>
      <c r="I46" s="22">
        <v>26.0</v>
      </c>
      <c r="J46" s="18">
        <v>25.0</v>
      </c>
      <c r="K46" s="18">
        <v>26.0</v>
      </c>
      <c r="L46" s="18">
        <v>15.0</v>
      </c>
      <c r="M46" s="18">
        <v>26.0</v>
      </c>
      <c r="N46" s="20">
        <v>20.0</v>
      </c>
      <c r="O46" s="20">
        <v>29.0</v>
      </c>
      <c r="P46" s="18">
        <v>12.0</v>
      </c>
    </row>
    <row r="47" ht="12.75" customHeight="1">
      <c r="A47" s="17" t="s">
        <v>25</v>
      </c>
      <c r="B47" s="17" t="s">
        <v>23</v>
      </c>
      <c r="C47" s="18">
        <v>0.0</v>
      </c>
      <c r="D47" s="18">
        <v>0.0</v>
      </c>
      <c r="E47" s="18">
        <v>0.0</v>
      </c>
      <c r="F47" s="18">
        <v>1.0</v>
      </c>
      <c r="G47" s="18">
        <v>3.0</v>
      </c>
      <c r="H47" s="18">
        <v>2.0</v>
      </c>
      <c r="I47" s="19">
        <v>0.0</v>
      </c>
      <c r="J47" s="18">
        <v>3.0</v>
      </c>
      <c r="K47" s="18">
        <v>5.0</v>
      </c>
      <c r="L47" s="18">
        <v>10.0</v>
      </c>
      <c r="M47" s="18">
        <v>10.0</v>
      </c>
      <c r="N47" s="20">
        <v>10.0</v>
      </c>
      <c r="O47" s="20">
        <v>0.0</v>
      </c>
      <c r="P47" s="18">
        <v>2.0</v>
      </c>
    </row>
    <row r="48" ht="12.75" customHeight="1">
      <c r="A48" s="21" t="s">
        <v>25</v>
      </c>
      <c r="B48" s="21" t="s">
        <v>24</v>
      </c>
      <c r="C48" s="18">
        <v>0.0</v>
      </c>
      <c r="D48" s="18">
        <v>0.0</v>
      </c>
      <c r="E48" s="18">
        <v>0.0</v>
      </c>
      <c r="F48" s="18">
        <v>1.0</v>
      </c>
      <c r="G48" s="18">
        <v>3.0</v>
      </c>
      <c r="H48" s="18">
        <v>0.0</v>
      </c>
      <c r="I48" s="22">
        <v>2.0</v>
      </c>
      <c r="J48" s="18">
        <v>0.0</v>
      </c>
      <c r="K48" s="18">
        <v>0.0</v>
      </c>
      <c r="L48" s="18">
        <v>1.0</v>
      </c>
      <c r="M48" s="18">
        <v>0.0</v>
      </c>
      <c r="N48" s="20">
        <v>1.0</v>
      </c>
      <c r="O48" s="20">
        <v>0.0</v>
      </c>
      <c r="P48" s="18">
        <v>1.0</v>
      </c>
    </row>
    <row r="49" ht="12.75" customHeight="1">
      <c r="A49" s="17" t="s">
        <v>24</v>
      </c>
      <c r="B49" s="17" t="s">
        <v>25</v>
      </c>
      <c r="C49" s="18">
        <v>0.0</v>
      </c>
      <c r="D49" s="18">
        <v>0.0</v>
      </c>
      <c r="E49" s="18">
        <v>1.0</v>
      </c>
      <c r="F49" s="18">
        <v>0.0</v>
      </c>
      <c r="G49" s="18">
        <v>0.0</v>
      </c>
      <c r="H49" s="18">
        <v>0.0</v>
      </c>
      <c r="I49" s="19">
        <v>1.0</v>
      </c>
      <c r="J49" s="18">
        <v>0.0</v>
      </c>
      <c r="K49" s="18">
        <v>1.0</v>
      </c>
      <c r="L49" s="18">
        <v>6.0</v>
      </c>
      <c r="M49" s="18">
        <v>4.0</v>
      </c>
      <c r="N49" s="20">
        <v>20.0</v>
      </c>
      <c r="O49" s="20">
        <v>0.0</v>
      </c>
      <c r="P49" s="18">
        <v>0.0</v>
      </c>
    </row>
    <row r="50" ht="12.75" customHeight="1">
      <c r="A50" s="21" t="s">
        <v>24</v>
      </c>
      <c r="B50" s="21" t="s">
        <v>22</v>
      </c>
      <c r="C50" s="18">
        <v>44.0</v>
      </c>
      <c r="D50" s="18">
        <v>33.0</v>
      </c>
      <c r="E50" s="18">
        <v>29.0</v>
      </c>
      <c r="F50" s="18">
        <v>24.0</v>
      </c>
      <c r="G50" s="18">
        <v>37.0</v>
      </c>
      <c r="H50" s="18">
        <v>18.0</v>
      </c>
      <c r="I50" s="22">
        <v>11.0</v>
      </c>
      <c r="J50" s="18">
        <v>20.0</v>
      </c>
      <c r="K50" s="18">
        <v>9.0</v>
      </c>
      <c r="L50" s="18">
        <v>15.0</v>
      </c>
      <c r="M50" s="18">
        <v>15.0</v>
      </c>
      <c r="N50" s="20">
        <v>16.0</v>
      </c>
      <c r="O50" s="20">
        <v>19.0</v>
      </c>
      <c r="P50" s="18">
        <v>17.0</v>
      </c>
    </row>
    <row r="51" ht="12.75" customHeight="1">
      <c r="A51" s="17" t="s">
        <v>24</v>
      </c>
      <c r="B51" s="17" t="s">
        <v>23</v>
      </c>
      <c r="C51" s="18">
        <v>5.0</v>
      </c>
      <c r="D51" s="18">
        <v>10.0</v>
      </c>
      <c r="E51" s="18">
        <v>9.0</v>
      </c>
      <c r="F51" s="18">
        <v>9.0</v>
      </c>
      <c r="G51" s="18">
        <v>12.0</v>
      </c>
      <c r="H51" s="18">
        <v>12.0</v>
      </c>
      <c r="I51" s="19">
        <v>11.0</v>
      </c>
      <c r="J51" s="18">
        <v>7.0</v>
      </c>
      <c r="K51" s="18">
        <v>14.0</v>
      </c>
      <c r="L51" s="18">
        <v>15.0</v>
      </c>
      <c r="M51" s="18">
        <v>15.0</v>
      </c>
      <c r="N51" s="20">
        <v>25.0</v>
      </c>
      <c r="O51" s="20">
        <v>8.0</v>
      </c>
      <c r="P51" s="18">
        <v>6.0</v>
      </c>
    </row>
    <row r="52" ht="12.75" customHeight="1">
      <c r="A52" s="21" t="s">
        <v>23</v>
      </c>
      <c r="B52" s="21" t="s">
        <v>24</v>
      </c>
      <c r="C52" s="18">
        <v>16.0</v>
      </c>
      <c r="D52" s="18">
        <v>12.0</v>
      </c>
      <c r="E52" s="18">
        <v>11.0</v>
      </c>
      <c r="F52" s="18">
        <v>8.0</v>
      </c>
      <c r="G52" s="18">
        <v>8.0</v>
      </c>
      <c r="H52" s="18">
        <v>17.0</v>
      </c>
      <c r="I52" s="22">
        <v>13.0</v>
      </c>
      <c r="J52" s="18">
        <v>15.0</v>
      </c>
      <c r="K52" s="18">
        <v>13.0</v>
      </c>
      <c r="L52" s="18">
        <v>19.0</v>
      </c>
      <c r="M52" s="18">
        <v>14.0</v>
      </c>
      <c r="N52" s="20">
        <v>1.0</v>
      </c>
      <c r="O52" s="20">
        <v>5.0</v>
      </c>
      <c r="P52" s="18">
        <v>11.0</v>
      </c>
    </row>
    <row r="53" ht="12.75" customHeight="1">
      <c r="A53" s="17" t="s">
        <v>23</v>
      </c>
      <c r="B53" s="17" t="s">
        <v>25</v>
      </c>
      <c r="C53" s="18">
        <v>2.0</v>
      </c>
      <c r="D53" s="18">
        <v>3.0</v>
      </c>
      <c r="E53" s="18">
        <v>0.0</v>
      </c>
      <c r="F53" s="18">
        <v>4.0</v>
      </c>
      <c r="G53" s="18">
        <v>3.0</v>
      </c>
      <c r="H53" s="18">
        <v>1.0</v>
      </c>
      <c r="I53" s="19">
        <v>2.0</v>
      </c>
      <c r="J53" s="18">
        <v>7.0</v>
      </c>
      <c r="K53" s="18">
        <v>5.0</v>
      </c>
      <c r="L53" s="18">
        <v>15.0</v>
      </c>
      <c r="M53" s="18">
        <v>15.0</v>
      </c>
      <c r="N53" s="20">
        <v>15.0</v>
      </c>
      <c r="O53" s="20">
        <v>3.0</v>
      </c>
      <c r="P53" s="18">
        <v>1.0</v>
      </c>
    </row>
    <row r="54" ht="12.75" customHeight="1">
      <c r="A54" s="21" t="s">
        <v>23</v>
      </c>
      <c r="B54" s="21" t="s">
        <v>22</v>
      </c>
      <c r="C54" s="18">
        <v>5.0</v>
      </c>
      <c r="D54" s="18">
        <v>20.0</v>
      </c>
      <c r="E54" s="18">
        <v>15.0</v>
      </c>
      <c r="F54" s="18">
        <v>14.0</v>
      </c>
      <c r="G54" s="18">
        <v>7.0</v>
      </c>
      <c r="H54" s="18">
        <v>16.0</v>
      </c>
      <c r="I54" s="22">
        <v>6.0</v>
      </c>
      <c r="J54" s="18">
        <v>9.0</v>
      </c>
      <c r="K54" s="18">
        <v>14.0</v>
      </c>
      <c r="L54" s="18">
        <v>20.0</v>
      </c>
      <c r="M54" s="18">
        <v>23.0</v>
      </c>
      <c r="N54" s="20">
        <v>16.0</v>
      </c>
      <c r="O54" s="20">
        <v>12.0</v>
      </c>
      <c r="P54" s="18">
        <v>7.0</v>
      </c>
    </row>
    <row r="55" ht="12.75" customHeight="1">
      <c r="A55" s="12"/>
      <c r="B55" s="12" t="s">
        <v>20</v>
      </c>
      <c r="C55" s="13">
        <f t="shared" ref="C55:P55" si="1">SUM(C43:C54)</f>
        <v>125</v>
      </c>
      <c r="D55" s="13">
        <f t="shared" si="1"/>
        <v>153</v>
      </c>
      <c r="E55" s="13">
        <f t="shared" si="1"/>
        <v>165</v>
      </c>
      <c r="F55" s="13">
        <f t="shared" si="1"/>
        <v>130</v>
      </c>
      <c r="G55" s="13">
        <f t="shared" si="1"/>
        <v>144</v>
      </c>
      <c r="H55" s="13">
        <f t="shared" si="1"/>
        <v>147</v>
      </c>
      <c r="I55" s="13">
        <f t="shared" si="1"/>
        <v>120</v>
      </c>
      <c r="J55" s="13">
        <f t="shared" si="1"/>
        <v>146</v>
      </c>
      <c r="K55" s="13">
        <f t="shared" si="1"/>
        <v>138</v>
      </c>
      <c r="L55" s="13">
        <f t="shared" si="1"/>
        <v>183</v>
      </c>
      <c r="M55" s="13">
        <f t="shared" si="1"/>
        <v>207</v>
      </c>
      <c r="N55" s="13">
        <f t="shared" si="1"/>
        <v>244</v>
      </c>
      <c r="O55" s="13">
        <f t="shared" si="1"/>
        <v>135</v>
      </c>
      <c r="P55" s="13">
        <f t="shared" si="1"/>
        <v>89</v>
      </c>
    </row>
    <row r="56" ht="12.75" customHeight="1"/>
    <row r="57" ht="12.75" customHeight="1">
      <c r="A57" s="57"/>
      <c r="B57" s="58"/>
    </row>
    <row r="58" ht="12.75" customHeight="1">
      <c r="A58" s="57"/>
      <c r="B58" s="58"/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A1:O1"/>
    <mergeCell ref="A7:O7"/>
  </mergeCells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5.43"/>
    <col customWidth="1" min="3" max="3" width="4.43"/>
    <col customWidth="1" min="4" max="4" width="5.71"/>
    <col customWidth="1" min="5" max="7" width="13.0"/>
    <col customWidth="1" min="8" max="8" width="5.0"/>
    <col customWidth="1" min="9" max="9" width="5.14"/>
    <col customWidth="1" min="10" max="11" width="4.43"/>
  </cols>
  <sheetData>
    <row r="1" ht="22.5" customHeight="1">
      <c r="A1" s="61" t="s">
        <v>53</v>
      </c>
      <c r="B1" s="62"/>
      <c r="C1" s="63"/>
      <c r="D1" s="64" t="s">
        <v>54</v>
      </c>
      <c r="E1" s="65" t="str">
        <f>UPPER(CONFFLUXO!A3)</f>
        <v>SIGISMUNDO</v>
      </c>
      <c r="F1" s="62"/>
      <c r="G1" s="63"/>
      <c r="H1" s="66"/>
      <c r="I1" s="66"/>
      <c r="J1" s="66"/>
      <c r="K1" s="66"/>
    </row>
    <row r="2" ht="22.5" customHeight="1">
      <c r="A2" s="67" t="s">
        <v>20</v>
      </c>
      <c r="B2" s="62"/>
      <c r="C2" s="63"/>
      <c r="D2" s="66"/>
      <c r="E2" s="68">
        <f>SUM(E3:G3)</f>
        <v>815</v>
      </c>
      <c r="F2" s="62"/>
      <c r="G2" s="63"/>
      <c r="H2" s="66"/>
      <c r="I2" s="66"/>
      <c r="J2" s="66"/>
      <c r="K2" s="66"/>
    </row>
    <row r="3" ht="22.5" customHeight="1">
      <c r="A3" s="69"/>
      <c r="B3" s="69"/>
      <c r="C3" s="69"/>
      <c r="D3" s="70"/>
      <c r="E3" s="71">
        <f>CONFFLUXO!Q3</f>
        <v>232</v>
      </c>
      <c r="F3" s="71">
        <f>CONFFLUXO!Q4</f>
        <v>426</v>
      </c>
      <c r="G3" s="71">
        <f>CONFFLUXO!Q5</f>
        <v>157</v>
      </c>
      <c r="H3" s="66"/>
      <c r="I3" s="66"/>
      <c r="J3" s="66"/>
      <c r="K3" s="66"/>
    </row>
    <row r="4" ht="25.5" customHeight="1">
      <c r="A4" s="72"/>
      <c r="B4" s="72"/>
      <c r="C4" s="69"/>
      <c r="D4" s="69"/>
      <c r="E4" s="66"/>
      <c r="F4" s="66"/>
      <c r="G4" s="66"/>
      <c r="H4" s="73"/>
      <c r="I4" s="73"/>
      <c r="J4" s="74"/>
      <c r="K4" s="74"/>
    </row>
    <row r="5" ht="71.25" customHeight="1">
      <c r="A5" s="75" t="str">
        <f>UPPER(CONFFLUXO!A12)</f>
        <v>QUINZE</v>
      </c>
      <c r="B5" s="76">
        <f>SUM(C5:C7)</f>
        <v>423</v>
      </c>
      <c r="C5" s="77">
        <f>CONFFLUXO!Q14</f>
        <v>184</v>
      </c>
      <c r="D5" s="69"/>
      <c r="E5" s="66"/>
      <c r="F5" s="66"/>
      <c r="G5" s="66"/>
      <c r="H5" s="73"/>
      <c r="I5" s="78">
        <f>CONFFLUXO!Q6</f>
        <v>335</v>
      </c>
      <c r="J5" s="79">
        <f>SUM(I5:I7)</f>
        <v>390</v>
      </c>
      <c r="K5" s="80" t="str">
        <f>UPPER(CONFFLUXO!A6)</f>
        <v>OLINDA</v>
      </c>
    </row>
    <row r="6" ht="71.25" customHeight="1">
      <c r="A6" s="81"/>
      <c r="B6" s="81"/>
      <c r="C6" s="77">
        <f>CONFFLUXO!Q13</f>
        <v>76</v>
      </c>
      <c r="D6" s="69"/>
      <c r="E6" s="66"/>
      <c r="F6" s="82">
        <f>SUM(E3:G3,I5:I7,E9:G9,C5:C7)</f>
        <v>2126</v>
      </c>
      <c r="G6" s="66"/>
      <c r="H6" s="73"/>
      <c r="I6" s="78">
        <f>CONFFLUXO!Q7</f>
        <v>46</v>
      </c>
      <c r="J6" s="81"/>
      <c r="K6" s="81"/>
    </row>
    <row r="7" ht="71.25" customHeight="1">
      <c r="A7" s="83"/>
      <c r="B7" s="83"/>
      <c r="C7" s="77">
        <f>CONFFLUXO!Q12</f>
        <v>163</v>
      </c>
      <c r="D7" s="69"/>
      <c r="E7" s="66"/>
      <c r="F7" s="66"/>
      <c r="G7" s="66"/>
      <c r="H7" s="73"/>
      <c r="I7" s="78">
        <f>CONFFLUXO!Q8</f>
        <v>9</v>
      </c>
      <c r="J7" s="83"/>
      <c r="K7" s="83"/>
    </row>
    <row r="8" ht="27.0" customHeight="1">
      <c r="A8" s="69"/>
      <c r="B8" s="69"/>
      <c r="C8" s="69"/>
      <c r="D8" s="69"/>
      <c r="E8" s="66"/>
      <c r="F8" s="66"/>
      <c r="G8" s="66"/>
      <c r="H8" s="66"/>
      <c r="I8" s="66"/>
      <c r="J8" s="66"/>
      <c r="K8" s="66"/>
    </row>
    <row r="9" ht="22.5" customHeight="1">
      <c r="A9" s="69"/>
      <c r="B9" s="69"/>
      <c r="C9" s="84"/>
      <c r="D9" s="84"/>
      <c r="E9" s="85">
        <f>CONFFLUXO!Q11</f>
        <v>158</v>
      </c>
      <c r="F9" s="85">
        <f>CONFFLUXO!Q10</f>
        <v>307</v>
      </c>
      <c r="G9" s="85">
        <f>CONFFLUXO!Q9</f>
        <v>33</v>
      </c>
      <c r="H9" s="66"/>
      <c r="I9" s="66"/>
      <c r="J9" s="66"/>
      <c r="K9" s="66"/>
    </row>
    <row r="10" ht="22.5" customHeight="1">
      <c r="A10" s="69"/>
      <c r="B10" s="69"/>
      <c r="C10" s="69"/>
      <c r="D10" s="69"/>
      <c r="E10" s="68">
        <f>SUM(E9:G9)</f>
        <v>498</v>
      </c>
      <c r="F10" s="62"/>
      <c r="G10" s="63"/>
      <c r="H10" s="66"/>
      <c r="I10" s="66"/>
      <c r="J10" s="66"/>
      <c r="K10" s="66"/>
    </row>
    <row r="11" ht="22.5" customHeight="1">
      <c r="A11" s="69"/>
      <c r="B11" s="69"/>
      <c r="C11" s="69"/>
      <c r="D11" s="69"/>
      <c r="E11" s="65" t="str">
        <f>UPPER(CONFFLUXO!A9)</f>
        <v>KENNEDY</v>
      </c>
      <c r="F11" s="62"/>
      <c r="G11" s="63"/>
      <c r="H11" s="66"/>
      <c r="I11" s="66"/>
      <c r="J11" s="66"/>
      <c r="K11" s="86">
        <f>MAX(3:3,I:I,9:9,C:C)</f>
        <v>426</v>
      </c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2.75" customHeight="1">
      <c r="A1" s="87" t="s">
        <v>55</v>
      </c>
      <c r="B1" s="6"/>
    </row>
    <row r="2" ht="12.75" customHeight="1">
      <c r="A2" s="87" t="s">
        <v>56</v>
      </c>
      <c r="B2" s="6"/>
    </row>
    <row r="3" ht="12.75" customHeight="1">
      <c r="A3" s="87" t="s">
        <v>57</v>
      </c>
      <c r="B3" s="6"/>
    </row>
    <row r="4" ht="12.75" customHeight="1">
      <c r="A4" s="87" t="s">
        <v>58</v>
      </c>
      <c r="B4" s="6"/>
    </row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rawing r:id="rId1"/>
</worksheet>
</file>