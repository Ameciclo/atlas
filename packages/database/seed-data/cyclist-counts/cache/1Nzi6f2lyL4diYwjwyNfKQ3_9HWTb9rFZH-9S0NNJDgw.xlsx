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visible" name="Original" sheetId="3" r:id="rId6"/>
    <sheet state="visible" name="Base projeção" sheetId="4" r:id="rId7"/>
    <sheet state="hidden" name="CONFFLUXO" sheetId="5" r:id="rId8"/>
    <sheet state="visible" name="Gráficos" sheetId="6" r:id="rId9"/>
    <sheet state="visible" name="Fluxo" sheetId="7" r:id="rId10"/>
    <sheet state="visible" name="Coordenadas" sheetId="8" r:id="rId11"/>
  </sheets>
  <definedNames/>
  <calcPr/>
</workbook>
</file>

<file path=xl/sharedStrings.xml><?xml version="1.0" encoding="utf-8"?>
<sst xmlns="http://schemas.openxmlformats.org/spreadsheetml/2006/main" count="241" uniqueCount="64">
  <si>
    <t>Cruzamento</t>
  </si>
  <si>
    <t>Av. Rui Barbosa x Av. Dr. Malaquias</t>
  </si>
  <si>
    <t>Data</t>
  </si>
  <si>
    <t>Coordenadas Geográficas</t>
  </si>
  <si>
    <t>-8.03989, -34.90401</t>
  </si>
  <si>
    <t>Relatório</t>
  </si>
  <si>
    <t>"link"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</si>
  <si>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</si>
  <si>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</si>
  <si>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</si>
  <si>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</si>
  <si>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</si>
  <si>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</si>
  <si>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</si>
  <si>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</si>
  <si>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</si>
  <si>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</si>
  <si>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</si>
  <si>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</si>
  <si>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</si>
  <si>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</si>
  <si>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</si>
  <si>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>Rosarinho</t>
  </si>
  <si>
    <t>Jaqueira</t>
  </si>
  <si>
    <t>Torre</t>
  </si>
  <si>
    <t>Graças</t>
  </si>
  <si>
    <t xml:space="preserve">Torre </t>
  </si>
  <si>
    <t>Percentual</t>
  </si>
  <si>
    <t>Dados qualitativos padrões</t>
  </si>
  <si>
    <t>Característica</t>
  </si>
  <si>
    <t>Carona criança</t>
  </si>
  <si>
    <t>Carona mulher</t>
  </si>
  <si>
    <t>Carona homem</t>
  </si>
  <si>
    <t>Cargueira tradicional</t>
  </si>
  <si>
    <t>Adaptada a carga</t>
  </si>
  <si>
    <t>Serviço APP</t>
  </si>
  <si>
    <t>Contramão para conversão</t>
  </si>
  <si>
    <t>Dados qualitativos das observações</t>
  </si>
  <si>
    <t>Bike PE</t>
  </si>
  <si>
    <t>Empurrando</t>
  </si>
  <si>
    <t>Triciclo</t>
  </si>
  <si>
    <t>Carroça</t>
  </si>
  <si>
    <t>Elétrica</t>
  </si>
  <si>
    <t>Motorizada</t>
  </si>
  <si>
    <t>Skate e outros patináveis</t>
  </si>
  <si>
    <t>Ciclomotor</t>
  </si>
  <si>
    <t>Cadeirante</t>
  </si>
  <si>
    <t>Handbike</t>
  </si>
  <si>
    <t>Grupos de Pedal</t>
  </si>
  <si>
    <t>Faixa Azul</t>
  </si>
  <si>
    <t>Máscara</t>
  </si>
  <si>
    <t>"Outros" - Emplacada</t>
  </si>
  <si>
    <t>AUMENTO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</si>
  <si>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</si>
  <si>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</si>
  <si>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</si>
  <si>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</si>
  <si>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</si>
  <si>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</si>
  <si>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</si>
  <si>
    <t>Norte</t>
  </si>
  <si>
    <t>Leste</t>
  </si>
  <si>
    <t>Sul</t>
  </si>
  <si>
    <t>Oeste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</si>
</sst>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%"/>
  </numFmts>
  <fonts count="13">
    <font>
      <sz val="10.0"/>
      <color rgb="FF000000"/>
      <name val="Arial"/>
    </font>
    <font>
      <b/>
      <sz val="12.0"/>
      <color rgb="FFFFFFFF"/>
      <name val="Ubuntu"/>
    </font>
    <font>
      <sz val="12.0"/>
      <name val="Ubuntu"/>
    </font>
    <font>
      <sz val="12.0"/>
      <color rgb="FF000000"/>
      <name val="Ubuntu"/>
    </font>
    <font>
      <name val="Arial"/>
    </font>
    <font>
      <sz val="12.0"/>
      <color rgb="FFFFFFFF"/>
      <name val="Ubuntu"/>
    </font>
    <font>
      <sz val="12.0"/>
      <name val="Arial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10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CE5CD"/>
        <bgColor rgb="FFFCE5C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horizontal="right" readingOrder="0" shrinkToFit="0" wrapText="1"/>
    </xf>
    <xf borderId="0" fillId="0" fontId="2" numFmtId="164" xfId="0" applyAlignment="1" applyFont="1" applyNumberFormat="1">
      <alignment horizontal="right" readingOrder="0" shrinkToFit="0" wrapText="1"/>
    </xf>
    <xf borderId="0" fillId="2" fontId="1" numFmtId="0" xfId="0" applyAlignment="1" applyFont="1">
      <alignment readingOrder="0" shrinkToFit="0" wrapText="1"/>
    </xf>
    <xf borderId="0" fillId="0" fontId="2" numFmtId="0" xfId="0" applyAlignment="1" applyFont="1">
      <alignment horizontal="right" shrinkToFit="0" wrapText="1"/>
    </xf>
    <xf borderId="0" fillId="0" fontId="2" numFmtId="165" xfId="0" applyAlignment="1" applyFont="1" applyNumberFormat="1">
      <alignment horizontal="right" shrinkToFit="0" wrapText="1"/>
    </xf>
    <xf borderId="0" fillId="2" fontId="1" numFmtId="0" xfId="0" applyAlignment="1" applyFont="1">
      <alignment horizontal="center" shrinkToFit="0" vertical="bottom" wrapText="0"/>
    </xf>
    <xf borderId="0" fillId="3" fontId="1" numFmtId="0" xfId="0" applyAlignment="1" applyFill="1" applyFont="1">
      <alignment shrinkToFit="0" vertical="bottom" wrapText="0"/>
    </xf>
    <xf borderId="0" fillId="3" fontId="1" numFmtId="0" xfId="0" applyAlignment="1" applyFont="1">
      <alignment horizontal="center" shrinkToFit="0" wrapText="0"/>
    </xf>
    <xf borderId="0" fillId="3" fontId="1" numFmtId="0" xfId="0" applyAlignment="1" applyFont="1">
      <alignment horizontal="center" shrinkToFit="0" wrapText="0"/>
    </xf>
    <xf borderId="0" fillId="2" fontId="1" numFmtId="165" xfId="0" applyAlignment="1" applyFont="1" applyNumberFormat="1">
      <alignment horizontal="center" shrinkToFit="0" wrapText="0"/>
    </xf>
    <xf borderId="0" fillId="4" fontId="3" numFmtId="0" xfId="0" applyAlignment="1" applyFill="1" applyFont="1">
      <alignment shrinkToFit="0" vertical="bottom" wrapText="0"/>
    </xf>
    <xf borderId="0" fillId="5" fontId="3" numFmtId="0" xfId="0" applyAlignment="1" applyFill="1" applyFont="1">
      <alignment horizontal="right" shrinkToFit="0" vertical="bottom" wrapText="0"/>
    </xf>
    <xf borderId="0" fillId="5" fontId="3" numFmtId="0" xfId="0" applyAlignment="1" applyFont="1">
      <alignment shrinkToFit="0" vertical="bottom" wrapText="0"/>
    </xf>
    <xf borderId="0" fillId="5" fontId="3" numFmtId="0" xfId="0" applyAlignment="1" applyFont="1">
      <alignment readingOrder="0" shrinkToFit="0" vertical="bottom" wrapText="0"/>
    </xf>
    <xf borderId="0" fillId="5" fontId="3" numFmtId="0" xfId="0" applyAlignment="1" applyFont="1">
      <alignment shrinkToFit="0" vertical="bottom" wrapText="0"/>
    </xf>
    <xf borderId="0" fillId="4" fontId="3" numFmtId="0" xfId="0" applyAlignment="1" applyFont="1">
      <alignment shrinkToFit="0" vertical="bottom" wrapText="0"/>
    </xf>
    <xf borderId="0" fillId="3" fontId="4" numFmtId="0" xfId="0" applyAlignment="1" applyFont="1">
      <alignment shrinkToFit="0" vertical="bottom" wrapText="1"/>
    </xf>
    <xf borderId="0" fillId="3" fontId="1" numFmtId="0" xfId="0" applyAlignment="1" applyFont="1">
      <alignment shrinkToFit="0" vertical="bottom" wrapText="0"/>
    </xf>
    <xf borderId="0" fillId="2" fontId="4" numFmtId="165" xfId="0" applyAlignment="1" applyFont="1" applyNumberFormat="1">
      <alignment shrinkToFit="0" wrapText="1"/>
    </xf>
    <xf borderId="0" fillId="2" fontId="4" numFmtId="10" xfId="0" applyAlignment="1" applyFont="1" applyNumberFormat="1">
      <alignment shrinkToFit="0" vertical="bottom" wrapText="1"/>
    </xf>
    <xf borderId="0" fillId="2" fontId="1" numFmtId="10" xfId="0" applyAlignment="1" applyFont="1" applyNumberFormat="1">
      <alignment shrinkToFit="0" vertical="bottom" wrapText="0"/>
    </xf>
    <xf borderId="0" fillId="2" fontId="1" numFmtId="10" xfId="0" applyAlignment="1" applyFont="1" applyNumberFormat="1">
      <alignment horizontal="center" shrinkToFit="0" wrapText="0"/>
    </xf>
    <xf borderId="0" fillId="4" fontId="1" numFmtId="10" xfId="0" applyAlignment="1" applyFont="1" applyNumberFormat="1">
      <alignment readingOrder="0" shrinkToFit="0" vertical="bottom" wrapText="0"/>
    </xf>
    <xf borderId="0" fillId="4" fontId="5" numFmtId="10" xfId="0" applyAlignment="1" applyFont="1" applyNumberFormat="1">
      <alignment horizontal="center" shrinkToFit="0" vertical="center" wrapText="0"/>
    </xf>
    <xf borderId="0" fillId="4" fontId="5" numFmtId="165" xfId="0" applyAlignment="1" applyFont="1" applyNumberFormat="1">
      <alignment horizontal="center" shrinkToFit="0" vertical="center" wrapText="0"/>
    </xf>
    <xf borderId="0" fillId="2" fontId="4" numFmtId="0" xfId="0" applyAlignment="1" applyFont="1">
      <alignment shrinkToFit="0" vertical="bottom" wrapText="1"/>
    </xf>
    <xf borderId="0" fillId="2" fontId="4" numFmtId="0" xfId="0" applyAlignment="1" applyFont="1">
      <alignment shrinkToFit="0" vertical="bottom" wrapText="1"/>
    </xf>
    <xf borderId="0" fillId="4" fontId="3" numFmtId="0" xfId="0" applyAlignment="1" applyFont="1">
      <alignment shrinkToFit="0" vertical="bottom" wrapText="1"/>
    </xf>
    <xf borderId="0" fillId="4" fontId="3" numFmtId="0" xfId="0" applyAlignment="1" applyFont="1">
      <alignment horizontal="right" readingOrder="0" shrinkToFit="0" vertical="bottom" wrapText="1"/>
    </xf>
    <xf borderId="0" fillId="5" fontId="3" numFmtId="0" xfId="0" applyAlignment="1" applyFont="1">
      <alignment shrinkToFit="0" vertical="bottom" wrapText="1"/>
    </xf>
    <xf borderId="0" fillId="4" fontId="3" numFmtId="0" xfId="0" applyAlignment="1" applyFont="1">
      <alignment shrinkToFit="0" vertical="bottom" wrapText="1"/>
    </xf>
    <xf borderId="0" fillId="6" fontId="3" numFmtId="0" xfId="0" applyAlignment="1" applyFill="1" applyFont="1">
      <alignment shrinkToFit="0" vertical="bottom" wrapText="1"/>
    </xf>
    <xf borderId="0" fillId="6" fontId="3" numFmtId="0" xfId="0" applyAlignment="1" applyFont="1">
      <alignment horizontal="right" readingOrder="0" shrinkToFit="0" vertical="bottom" wrapText="1"/>
    </xf>
    <xf borderId="0" fillId="4" fontId="3" numFmtId="0" xfId="0" applyAlignment="1" applyFont="1">
      <alignment shrinkToFit="0" vertical="bottom" wrapText="1"/>
    </xf>
    <xf borderId="0" fillId="4" fontId="3" numFmtId="0" xfId="0" applyAlignment="1" applyFont="1">
      <alignment horizontal="right" readingOrder="0" shrinkToFit="0" vertical="bottom" wrapText="1"/>
    </xf>
    <xf borderId="0" fillId="2" fontId="4" numFmtId="0" xfId="0" applyAlignment="1" applyFont="1">
      <alignment shrinkToFit="0" vertical="bottom" wrapText="1"/>
    </xf>
    <xf borderId="0" fillId="2" fontId="4" numFmtId="165" xfId="0" applyAlignment="1" applyFont="1" applyNumberForma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4" numFmtId="165" xfId="0" applyAlignment="1" applyFont="1" applyNumberFormat="1">
      <alignment shrinkToFit="0" wrapText="1"/>
    </xf>
    <xf borderId="0" fillId="4" fontId="4" numFmtId="0" xfId="0" applyAlignment="1" applyFont="1">
      <alignment shrinkToFit="0" vertical="bottom" wrapText="1"/>
    </xf>
    <xf borderId="0" fillId="5" fontId="3" numFmtId="0" xfId="0" applyAlignment="1" applyFont="1">
      <alignment horizontal="right" readingOrder="0" shrinkToFit="0" vertical="bottom" wrapText="1"/>
    </xf>
    <xf borderId="0" fillId="5" fontId="3" numFmtId="0" xfId="0" applyAlignment="1" applyFont="1">
      <alignment horizontal="right" shrinkToFit="0" vertical="bottom" wrapText="1"/>
    </xf>
    <xf borderId="0" fillId="5" fontId="3" numFmtId="0" xfId="0" applyAlignment="1" applyFont="1">
      <alignment horizontal="right" shrinkToFit="0" vertical="bottom" wrapText="1"/>
    </xf>
    <xf borderId="0" fillId="5" fontId="4" numFmtId="0" xfId="0" applyAlignment="1" applyFont="1">
      <alignment shrinkToFit="0" vertical="bottom" wrapText="1"/>
    </xf>
    <xf borderId="0" fillId="4" fontId="4" numFmtId="0" xfId="0" applyAlignment="1" applyFont="1">
      <alignment readingOrder="0" shrinkToFit="0" vertical="bottom" wrapText="1"/>
    </xf>
    <xf borderId="0" fillId="4" fontId="3" numFmtId="0" xfId="0" applyAlignment="1" applyFont="1">
      <alignment horizontal="right" shrinkToFit="0" vertical="bottom" wrapText="1"/>
    </xf>
    <xf borderId="0" fillId="4" fontId="3" numFmtId="0" xfId="0" applyAlignment="1" applyFont="1">
      <alignment horizontal="right" shrinkToFit="0" vertical="bottom" wrapText="1"/>
    </xf>
    <xf borderId="0" fillId="4" fontId="4" numFmtId="0" xfId="0" applyAlignment="1" applyFont="1">
      <alignment horizontal="right" shrinkToFit="0" vertical="bottom" wrapText="1"/>
    </xf>
    <xf borderId="0" fillId="5" fontId="4" numFmtId="0" xfId="0" applyAlignment="1" applyFont="1">
      <alignment shrinkToFit="0" vertical="bottom" wrapText="1"/>
    </xf>
    <xf borderId="0" fillId="4" fontId="4" numFmtId="0" xfId="0" applyAlignment="1" applyFont="1">
      <alignment shrinkToFit="0" vertical="bottom" wrapText="1"/>
    </xf>
    <xf borderId="0" fillId="5" fontId="4" numFmtId="0" xfId="0" applyAlignment="1" applyFont="1">
      <alignment horizontal="right" shrinkToFit="0" vertical="bottom" wrapText="1"/>
    </xf>
    <xf borderId="0" fillId="4" fontId="3" numFmtId="0" xfId="0" applyAlignment="1" applyFont="1">
      <alignment horizontal="right" readingOrder="0" shrinkToFit="0" vertical="bottom" wrapText="0"/>
    </xf>
    <xf borderId="0" fillId="5" fontId="3" numFmtId="0" xfId="0" applyAlignment="1" applyFont="1">
      <alignment horizontal="right" readingOrder="0" shrinkToFit="0" vertical="bottom" wrapText="0"/>
    </xf>
    <xf borderId="0" fillId="4" fontId="3" numFmtId="0" xfId="0" applyAlignment="1" applyFont="1">
      <alignment horizontal="right" shrinkToFit="0" vertical="bottom" wrapText="0"/>
    </xf>
    <xf borderId="0" fillId="5" fontId="3" numFmtId="0" xfId="0" applyAlignment="1" applyFont="1">
      <alignment horizontal="right" shrinkToFit="0" vertical="bottom" wrapText="0"/>
    </xf>
    <xf borderId="0" fillId="5" fontId="6" numFmtId="0" xfId="0" applyAlignment="1" applyFont="1">
      <alignment horizontal="right" readingOrder="0" shrinkToFit="0" vertical="bottom" wrapText="1"/>
    </xf>
    <xf borderId="0" fillId="5" fontId="4" numFmtId="0" xfId="0" applyAlignment="1" applyFont="1">
      <alignment horizontal="right" readingOrder="0" shrinkToFit="0" vertical="bottom" wrapText="1"/>
    </xf>
    <xf borderId="0" fillId="4" fontId="6" numFmtId="0" xfId="0" applyAlignment="1" applyFont="1">
      <alignment horizontal="right" readingOrder="0" shrinkToFit="0" vertical="bottom" wrapText="1"/>
    </xf>
    <xf borderId="0" fillId="5" fontId="4" numFmtId="0" xfId="0" applyAlignment="1" applyFont="1">
      <alignment readingOrder="0" shrinkToFit="0" vertical="bottom" wrapText="1"/>
    </xf>
    <xf borderId="0" fillId="4" fontId="3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horizontal="center" shrinkToFit="0" wrapText="0"/>
    </xf>
    <xf borderId="0" fillId="0" fontId="7" numFmtId="0" xfId="0" applyAlignment="1" applyFont="1">
      <alignment readingOrder="0" shrinkToFit="0" wrapText="1"/>
    </xf>
    <xf borderId="0" fillId="0" fontId="7" numFmtId="165" xfId="0" applyAlignment="1" applyFont="1" applyNumberFormat="1">
      <alignment shrinkToFit="0" wrapText="1"/>
    </xf>
    <xf borderId="0" fillId="7" fontId="7" numFmtId="0" xfId="0" applyAlignment="1" applyFill="1" applyFont="1">
      <alignment horizontal="center" readingOrder="0" shrinkToFit="0" wrapText="1"/>
    </xf>
    <xf borderId="0" fillId="4" fontId="7" numFmtId="0" xfId="0" applyAlignment="1" applyFont="1">
      <alignment readingOrder="0" shrinkToFit="0" wrapText="1"/>
    </xf>
    <xf borderId="0" fillId="4" fontId="4" numFmtId="0" xfId="0" applyAlignment="1" applyFont="1">
      <alignment horizontal="right" shrinkToFit="0" vertical="bottom" wrapText="1"/>
    </xf>
    <xf borderId="0" fillId="5" fontId="7" numFmtId="0" xfId="0" applyAlignment="1" applyFont="1">
      <alignment readingOrder="0" shrinkToFit="0" wrapText="1"/>
    </xf>
    <xf borderId="0" fillId="5" fontId="4" numFmtId="0" xfId="0" applyAlignment="1" applyFont="1">
      <alignment horizontal="right" shrinkToFit="0" vertical="bottom" wrapText="1"/>
    </xf>
    <xf borderId="0" fillId="4" fontId="4" numFmtId="0" xfId="0" applyAlignment="1" applyFont="1">
      <alignment shrinkToFit="0" vertical="bottom" wrapText="1"/>
    </xf>
    <xf borderId="0" fillId="5" fontId="4" numFmtId="0" xfId="0" applyAlignment="1" applyFont="1">
      <alignment shrinkToFit="0" vertical="bottom" wrapText="1"/>
    </xf>
    <xf borderId="0" fillId="8" fontId="7" numFmtId="0" xfId="0" applyAlignment="1" applyFill="1" applyFont="1">
      <alignment horizontal="center" readingOrder="0" shrinkToFit="0" wrapText="1"/>
    </xf>
    <xf borderId="0" fillId="4" fontId="7" numFmtId="0" xfId="0" applyAlignment="1" applyFont="1">
      <alignment readingOrder="0" shrinkToFit="0" wrapText="1"/>
    </xf>
    <xf borderId="0" fillId="9" fontId="7" numFmtId="0" xfId="0" applyAlignment="1" applyFill="1" applyFont="1">
      <alignment readingOrder="0" shrinkToFit="0" wrapText="1"/>
    </xf>
    <xf borderId="0" fillId="9" fontId="4" numFmtId="165" xfId="0" applyAlignment="1" applyFont="1" applyNumberFormat="1">
      <alignment horizontal="right" shrinkToFit="0" vertical="bottom" wrapText="1"/>
    </xf>
    <xf borderId="0" fillId="4" fontId="4" numFmtId="165" xfId="0" applyAlignment="1" applyFont="1" applyNumberFormat="1">
      <alignment horizontal="right" shrinkToFit="0" vertical="bottom" wrapText="1"/>
    </xf>
    <xf borderId="0" fillId="0" fontId="7" numFmtId="0" xfId="0" applyAlignment="1" applyFont="1">
      <alignment horizontal="center" readingOrder="0" shrinkToFit="0" wrapText="1"/>
    </xf>
    <xf borderId="0" fillId="0" fontId="7" numFmtId="165" xfId="0" applyAlignment="1" applyFont="1" applyNumberFormat="1">
      <alignment horizontal="center" readingOrder="0" shrinkToFit="0" wrapText="1"/>
    </xf>
    <xf borderId="0" fillId="0" fontId="7" numFmtId="0" xfId="0" applyAlignment="1" applyFont="1">
      <alignment horizontal="center" readingOrder="0" shrinkToFit="0" wrapText="1"/>
    </xf>
    <xf borderId="1" fillId="0" fontId="8" numFmtId="0" xfId="0" applyAlignment="1" applyBorder="1" applyFont="1">
      <alignment horizontal="center" readingOrder="0" shrinkToFit="0" textRotation="0" vertical="center" wrapText="1"/>
    </xf>
    <xf borderId="2" fillId="0" fontId="7" numFmtId="0" xfId="0" applyAlignment="1" applyBorder="1" applyFont="1">
      <alignment shrinkToFit="0" wrapText="1"/>
    </xf>
    <xf borderId="3" fillId="0" fontId="7" numFmtId="0" xfId="0" applyAlignment="1" applyBorder="1" applyFont="1">
      <alignment shrinkToFit="0" wrapText="1"/>
    </xf>
    <xf borderId="4" fillId="0" fontId="8" numFmtId="0" xfId="0" applyAlignment="1" applyBorder="1" applyFont="1">
      <alignment horizontal="center" readingOrder="0" shrinkToFit="0" textRotation="0" vertical="center" wrapText="1"/>
    </xf>
    <xf borderId="1" fillId="2" fontId="9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textRotation="90" vertical="center" wrapText="1"/>
    </xf>
    <xf borderId="4" fillId="0" fontId="8" numFmtId="0" xfId="0" applyAlignment="1" applyBorder="1" applyFont="1">
      <alignment horizontal="center" shrinkToFit="0" textRotation="90" vertical="bottom" wrapText="1"/>
    </xf>
    <xf borderId="4" fillId="0" fontId="8" numFmtId="0" xfId="0" applyAlignment="1" applyBorder="1" applyFont="1">
      <alignment horizontal="center" shrinkToFit="0" vertical="bottom" wrapText="1"/>
    </xf>
    <xf borderId="4" fillId="0" fontId="10" numFmtId="0" xfId="0" applyAlignment="1" applyBorder="1" applyFont="1">
      <alignment horizontal="center" readingOrder="0" shrinkToFit="0" textRotation="90" vertical="center" wrapText="1"/>
    </xf>
    <xf borderId="4" fillId="0" fontId="8" numFmtId="0" xfId="0" applyAlignment="1" applyBorder="1" applyFont="1">
      <alignment horizontal="center" shrinkToFit="0" textRotation="180" vertical="center" wrapText="1"/>
    </xf>
    <xf borderId="4" fillId="0" fontId="10" numFmtId="0" xfId="0" applyAlignment="1" applyBorder="1" applyFont="1">
      <alignment horizontal="center" readingOrder="0" shrinkToFit="0" textRotation="180" vertical="center" wrapText="1"/>
    </xf>
    <xf borderId="5" fillId="2" fontId="9" numFmtId="0" xfId="0" applyAlignment="1" applyBorder="1" applyFont="1">
      <alignment horizontal="center" readingOrder="0" shrinkToFit="0" textRotation="90" vertical="center" wrapText="1"/>
    </xf>
    <xf borderId="5" fillId="3" fontId="9" numFmtId="0" xfId="0" applyAlignment="1" applyBorder="1" applyFont="1">
      <alignment horizontal="center" readingOrder="0" shrinkToFit="0" textRotation="90" vertical="center" wrapText="1"/>
    </xf>
    <xf borderId="4" fillId="0" fontId="8" numFmtId="0" xfId="0" applyAlignment="1" applyBorder="1" applyFont="1">
      <alignment horizontal="right" shrinkToFit="0" textRotation="90" vertical="center" wrapText="1"/>
    </xf>
    <xf borderId="4" fillId="0" fontId="8" numFmtId="0" xfId="0" applyAlignment="1" applyBorder="1" applyFont="1">
      <alignment horizontal="left" shrinkToFit="0" textRotation="180" vertical="center" wrapText="1"/>
    </xf>
    <xf borderId="5" fillId="3" fontId="9" numFmtId="0" xfId="0" applyAlignment="1" applyBorder="1" applyFont="1">
      <alignment horizontal="center" readingOrder="0" shrinkToFit="0" textRotation="180" vertical="center" wrapText="1"/>
    </xf>
    <xf borderId="5" fillId="2" fontId="9" numFmtId="0" xfId="0" applyAlignment="1" applyBorder="1" applyFont="1">
      <alignment horizontal="center" readingOrder="0" shrinkToFit="0" textRotation="180" vertical="center" wrapText="1"/>
    </xf>
    <xf borderId="6" fillId="0" fontId="7" numFmtId="0" xfId="0" applyAlignment="1" applyBorder="1" applyFont="1">
      <alignment shrinkToFit="0" wrapText="1"/>
    </xf>
    <xf borderId="4" fillId="2" fontId="11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shrinkToFit="0" wrapText="1"/>
    </xf>
    <xf borderId="4" fillId="0" fontId="8" numFmtId="0" xfId="0" applyAlignment="1" applyBorder="1" applyFont="1">
      <alignment horizontal="center" shrinkToFit="0" textRotation="90" vertical="top" wrapText="1"/>
    </xf>
    <xf borderId="4" fillId="0" fontId="8" numFmtId="0" xfId="0" applyAlignment="1" applyBorder="1" applyFont="1">
      <alignment horizontal="center" shrinkToFit="0" vertical="top" wrapText="1"/>
    </xf>
    <xf borderId="1" fillId="3" fontId="9" numFmtId="0" xfId="0" applyAlignment="1" applyBorder="1" applyFont="1">
      <alignment horizontal="center" readingOrder="0" shrinkToFit="0" vertical="center" wrapText="1"/>
    </xf>
    <xf borderId="4" fillId="0" fontId="1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20">
    <tableStyle count="2" pivot="0" name="Resumo-style">
      <tableStyleElement dxfId="1" type="firstRowStripe"/>
      <tableStyleElement dxfId="2" type="secondRowStripe"/>
    </tableStyle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2" type="firstRowStripe"/>
      <tableStyleElement dxfId="1" type="secondRowStripe"/>
    </tableStyle>
    <tableStyle count="2" pivot="0" name="Dados-style 4">
      <tableStyleElement dxfId="2" type="firstRowStripe"/>
      <tableStyleElement dxfId="1" type="secondRowStripe"/>
    </tableStyle>
    <tableStyle count="2" pivot="0" name="Dados-style 5">
      <tableStyleElement dxfId="2" type="firstRowStripe"/>
      <tableStyleElement dxfId="1" type="secondRowStripe"/>
    </tableStyle>
    <tableStyle count="2" pivot="0" name="Dados-style 6">
      <tableStyleElement dxfId="1" type="firstRowStripe"/>
      <tableStyleElement dxfId="2" type="secondRowStripe"/>
    </tableStyle>
    <tableStyle count="2" pivot="0" name="Original-style">
      <tableStyleElement dxfId="1" type="firstRowStripe"/>
      <tableStyleElement dxfId="2" type="secondRowStripe"/>
    </tableStyle>
    <tableStyle count="2" pivot="0" name="Original-style 2">
      <tableStyleElement dxfId="1" type="firstRowStripe"/>
      <tableStyleElement dxfId="2" type="secondRowStripe"/>
    </tableStyle>
    <tableStyle count="2" pivot="0" name="Original-style 3">
      <tableStyleElement dxfId="2" type="firstRowStripe"/>
      <tableStyleElement dxfId="1" type="secondRowStripe"/>
    </tableStyle>
    <tableStyle count="2" pivot="0" name="Original-style 4">
      <tableStyleElement dxfId="2" type="firstRowStripe"/>
      <tableStyleElement dxfId="1" type="secondRowStripe"/>
    </tableStyle>
    <tableStyle count="2" pivot="0" name="Original-style 5">
      <tableStyleElement dxfId="2" type="firstRowStripe"/>
      <tableStyleElement dxfId="1" type="secondRowStripe"/>
    </tableStyle>
    <tableStyle count="2" pivot="0" name="Original-style 6">
      <tableStyleElement dxfId="1" type="firstRowStripe"/>
      <tableStyleElement dxfId="2" type="secondRowStripe"/>
    </tableStyle>
    <tableStyle count="2" pivot="0" name="Base projeção-style">
      <tableStyleElement dxfId="1" type="firstRowStripe"/>
      <tableStyleElement dxfId="2" type="secondRowStripe"/>
    </tableStyle>
    <tableStyle count="2" pivot="0" name="Base projeção-style 2">
      <tableStyleElement dxfId="1" type="firstRowStripe"/>
      <tableStyleElement dxfId="2" type="secondRowStripe"/>
    </tableStyle>
    <tableStyle count="2" pivot="0" name="Base projeção-style 3">
      <tableStyleElement dxfId="2" type="firstRowStripe"/>
      <tableStyleElement dxfId="1" type="secondRowStripe"/>
    </tableStyle>
    <tableStyle count="2" pivot="0" name="Base projeção-style 4">
      <tableStyleElement dxfId="2" type="firstRowStripe"/>
      <tableStyleElement dxfId="1" type="secondRowStripe"/>
    </tableStyle>
    <tableStyle count="2" pivot="0" name="Base projeção-style 5">
      <tableStyleElement dxfId="2" type="firstRowStripe"/>
      <tableStyleElement dxfId="1" type="secondRowStripe"/>
    </tableStyle>
    <tableStyle count="2" pivot="0" name="Base projeção-style 6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1246301309"/>
        <c:axId val="850324238"/>
      </c:barChart>
      <c:catAx>
        <c:axId val="12463013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50324238"/>
      </c:catAx>
      <c:valAx>
        <c:axId val="8503242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463013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1554573316"/>
        <c:axId val="376737083"/>
      </c:barChart>
      <c:catAx>
        <c:axId val="15545733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76737083"/>
      </c:catAx>
      <c:valAx>
        <c:axId val="3767370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545733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341673425"/>
        <c:axId val="1612367151"/>
      </c:barChart>
      <c:catAx>
        <c:axId val="34167342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12367151"/>
      </c:catAx>
      <c:valAx>
        <c:axId val="161236715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4167342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11</xdr:row>
      <xdr:rowOff>66675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A14" displayName="Table_1" name="Table_1" id="1">
  <tableColumns count="1">
    <tableColumn name="Column1" id="1"/>
  </tableColumns>
  <tableStyleInfo name="Resumo-style" showColumnStripes="0" showFirstColumn="1" showLastColumn="1" showRowStripes="1"/>
</table>
</file>

<file path=xl/tables/table2.xml><?xml version="1.0" encoding="utf-8"?>
<table xmlns="http://schemas.openxmlformats.org/spreadsheetml/2006/main" headerRowCount="0" ref="A3:P14" displayName="Table_2" name="Table_2" id="2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Dados-style" showColumnStripes="0" showFirstColumn="1" showLastColumn="1" showRowStripes="1"/>
</table>
</file>

<file path=xl/tables/table3.xml><?xml version="1.0" encoding="utf-8"?>
<table xmlns="http://schemas.openxmlformats.org/spreadsheetml/2006/main" headerRowCount="0" ref="B20:P28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4.xml><?xml version="1.0" encoding="utf-8"?>
<table xmlns="http://schemas.openxmlformats.org/spreadsheetml/2006/main" headerRowCount="0" ref="B32:P32" displayName="Table_4" name="Table_4" id="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5.xml><?xml version="1.0" encoding="utf-8"?>
<table xmlns="http://schemas.openxmlformats.org/spreadsheetml/2006/main" headerRowCount="0" ref="B34:P34" displayName="Table_5" name="Table_5" id="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4" showColumnStripes="0" showFirstColumn="1" showLastColumn="1" showRowStripes="1"/>
</table>
</file>

<file path=xl/tables/table6.xml><?xml version="1.0" encoding="utf-8"?>
<table xmlns="http://schemas.openxmlformats.org/spreadsheetml/2006/main" headerRowCount="0" ref="B36:P36" displayName="Table_6" name="Table_6" id="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5" showColumnStripes="0" showFirstColumn="1" showLastColumn="1" showRowStripes="1"/>
</table>
</file>

<file path=xl/tables/table7.xml><?xml version="1.0" encoding="utf-8"?>
<table xmlns="http://schemas.openxmlformats.org/spreadsheetml/2006/main" headerRowCount="0" ref="B37:P56" displayName="Table_7" name="Table_7" id="7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6" showColumnStripes="0" showFirstColumn="1" showLastColumn="1" showRowStripes="1"/>
</table>
</file>

<file path=xl/tables/table8.xml><?xml version="1.0" encoding="utf-8"?>
<table xmlns="http://schemas.openxmlformats.org/spreadsheetml/2006/main" headerRowCount="0" ref="A3:P14" displayName="Table_8" name="Table_8" id="8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Original-style" showColumnStripes="0" showFirstColumn="1" showLastColumn="1" showRowStripes="1"/>
</table>
</file>

<file path=xl/tables/table9.xml><?xml version="1.0" encoding="utf-8"?>
<table xmlns="http://schemas.openxmlformats.org/spreadsheetml/2006/main" headerRowCount="0" ref="B20:P28" displayName="Table_9" name="Table_9" id="9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Original-style 2" showColumnStripes="0" showFirstColumn="1" showLastColumn="1" showRowStripes="1"/>
</table>
</file>

<file path=xl/tables/table10.xml><?xml version="1.0" encoding="utf-8"?>
<table xmlns="http://schemas.openxmlformats.org/spreadsheetml/2006/main" headerRowCount="0" ref="B32:P32" displayName="Table_10" name="Table_10" id="10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Original-style 3" showColumnStripes="0" showFirstColumn="1" showLastColumn="1" showRowStripes="1"/>
</table>
</file>

<file path=xl/tables/table11.xml><?xml version="1.0" encoding="utf-8"?>
<table xmlns="http://schemas.openxmlformats.org/spreadsheetml/2006/main" headerRowCount="0" ref="B34:P34" displayName="Table_11" name="Table_11" id="11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Original-style 4" showColumnStripes="0" showFirstColumn="1" showLastColumn="1" showRowStripes="1"/>
</table>
</file>

<file path=xl/tables/table12.xml><?xml version="1.0" encoding="utf-8"?>
<table xmlns="http://schemas.openxmlformats.org/spreadsheetml/2006/main" headerRowCount="0" ref="B36:P36" displayName="Table_12" name="Table_12" id="1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Original-style 5" showColumnStripes="0" showFirstColumn="1" showLastColumn="1" showRowStripes="1"/>
</table>
</file>

<file path=xl/tables/table13.xml><?xml version="1.0" encoding="utf-8"?>
<table xmlns="http://schemas.openxmlformats.org/spreadsheetml/2006/main" headerRowCount="0" ref="B37:P56" displayName="Table_13" name="Table_13" id="1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Original-style 6" showColumnStripes="0" showFirstColumn="1" showLastColumn="1" showRowStripes="1"/>
</table>
</file>

<file path=xl/tables/table14.xml><?xml version="1.0" encoding="utf-8"?>
<table xmlns="http://schemas.openxmlformats.org/spreadsheetml/2006/main" headerRowCount="0" ref="A12:P14" displayName="Table_14" name="Table_14" id="14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Base projeção-style" showColumnStripes="0" showFirstColumn="1" showLastColumn="1" showRowStripes="1"/>
</table>
</file>

<file path=xl/tables/table15.xml><?xml version="1.0" encoding="utf-8"?>
<table xmlns="http://schemas.openxmlformats.org/spreadsheetml/2006/main" headerRowCount="0" ref="B20:P28" displayName="Table_15" name="Table_15" id="1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Base projeção-style 2" showColumnStripes="0" showFirstColumn="1" showLastColumn="1" showRowStripes="1"/>
</table>
</file>

<file path=xl/tables/table16.xml><?xml version="1.0" encoding="utf-8"?>
<table xmlns="http://schemas.openxmlformats.org/spreadsheetml/2006/main" headerRowCount="0" ref="B32:P32" displayName="Table_16" name="Table_16" id="1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Base projeção-style 3" showColumnStripes="0" showFirstColumn="1" showLastColumn="1" showRowStripes="1"/>
</table>
</file>

<file path=xl/tables/table17.xml><?xml version="1.0" encoding="utf-8"?>
<table xmlns="http://schemas.openxmlformats.org/spreadsheetml/2006/main" headerRowCount="0" ref="B34:P34" displayName="Table_17" name="Table_17" id="17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Base projeção-style 4" showColumnStripes="0" showFirstColumn="1" showLastColumn="1" showRowStripes="1"/>
</table>
</file>

<file path=xl/tables/table18.xml><?xml version="1.0" encoding="utf-8"?>
<table xmlns="http://schemas.openxmlformats.org/spreadsheetml/2006/main" headerRowCount="0" ref="B36:P36" displayName="Table_18" name="Table_18" id="18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Base projeção-style 5" showColumnStripes="0" showFirstColumn="1" showLastColumn="1" showRowStripes="1"/>
</table>
</file>

<file path=xl/tables/table19.xml><?xml version="1.0" encoding="utf-8"?>
<table xmlns="http://schemas.openxmlformats.org/spreadsheetml/2006/main" headerRowCount="0" ref="B37:P56" displayName="Table_19" name="Table_19" id="19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Base projeção-style 6" showColumnStripes="0" showFirstColumn="1" showLastColumn="1" showRowStripes="1"/>
</table>
</file>

<file path=xl/tables/table20.xml><?xml version="1.0" encoding="utf-8"?>
<table xmlns="http://schemas.openxmlformats.org/spreadsheetml/2006/main" ref="A12:B20" displayName="Table_20" name="Table_20" id="20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13" Type="http://schemas.openxmlformats.org/officeDocument/2006/relationships/table" Target="../tables/table7.xml"/><Relationship Id="rId12" Type="http://schemas.openxmlformats.org/officeDocument/2006/relationships/table" Target="../tables/table6.xml"/><Relationship Id="rId9" Type="http://schemas.openxmlformats.org/officeDocument/2006/relationships/table" Target="../tables/table3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11" Type="http://schemas.openxmlformats.org/officeDocument/2006/relationships/table" Target="../tables/table11.xml"/><Relationship Id="rId10" Type="http://schemas.openxmlformats.org/officeDocument/2006/relationships/table" Target="../tables/table10.xml"/><Relationship Id="rId13" Type="http://schemas.openxmlformats.org/officeDocument/2006/relationships/table" Target="../tables/table13.xml"/><Relationship Id="rId12" Type="http://schemas.openxmlformats.org/officeDocument/2006/relationships/table" Target="../tables/table12.xml"/><Relationship Id="rId9" Type="http://schemas.openxmlformats.org/officeDocument/2006/relationships/table" Target="../tables/table9.xml"/><Relationship Id="rId8" Type="http://schemas.openxmlformats.org/officeDocument/2006/relationships/table" Target="../tables/table8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11" Type="http://schemas.openxmlformats.org/officeDocument/2006/relationships/table" Target="../tables/table17.xml"/><Relationship Id="rId10" Type="http://schemas.openxmlformats.org/officeDocument/2006/relationships/table" Target="../tables/table16.xml"/><Relationship Id="rId13" Type="http://schemas.openxmlformats.org/officeDocument/2006/relationships/table" Target="../tables/table19.xml"/><Relationship Id="rId12" Type="http://schemas.openxmlformats.org/officeDocument/2006/relationships/table" Target="../tables/table18.xml"/><Relationship Id="rId9" Type="http://schemas.openxmlformats.org/officeDocument/2006/relationships/table" Target="../tables/table15.xml"/><Relationship Id="rId8" Type="http://schemas.openxmlformats.org/officeDocument/2006/relationships/table" Target="../tables/table1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20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29.0"/>
  </cols>
  <sheetData>
    <row r="1">
      <c r="A1" s="1" t="s">
        <v>0</v>
      </c>
      <c r="B1" s="2" t="s">
        <v>1</v>
      </c>
    </row>
    <row r="2">
      <c r="A2" s="1" t="s">
        <v>2</v>
      </c>
      <c r="B2" s="3">
        <v>46092.0</v>
      </c>
    </row>
    <row r="3">
      <c r="A3" s="4" t="s">
        <v>3</v>
      </c>
      <c r="B3" s="2" t="s">
        <v>4</v>
      </c>
    </row>
    <row r="4">
      <c r="A4" s="4" t="s">
        <v>5</v>
      </c>
      <c r="B4" s="2" t="s">
        <v>6</v>
      </c>
    </row>
    <row r="5">
      <c r="A5" s="4" t="s">
        <v>7</v>
      </c>
      <c r="B5" s="5">
        <f>Dados!Q15</f>
        <v>853</v>
      </c>
    </row>
    <row r="6">
      <c r="A6" s="4" t="s">
        <v>8</v>
      </c>
      <c r="B6" s="5">
        <f>MAX(Dados!C15:P15)</f>
        <v>123</v>
      </c>
    </row>
    <row r="7">
      <c r="A7" s="4" t="s">
        <v>9</v>
      </c>
      <c r="B7" s="6">
        <f>Dados!R20</f>
        <v>0.08792497069</v>
      </c>
    </row>
    <row r="8">
      <c r="A8" s="4" t="s">
        <v>10</v>
      </c>
      <c r="B8" s="6">
        <f>Dados!R21</f>
        <v>0.04572098476</v>
      </c>
    </row>
    <row r="9">
      <c r="A9" s="4" t="s">
        <v>11</v>
      </c>
      <c r="B9" s="6">
        <f>Dados!R22</f>
        <v>0.1313012896</v>
      </c>
    </row>
    <row r="10">
      <c r="A10" s="4" t="s">
        <v>12</v>
      </c>
      <c r="B10" s="6">
        <f>Dados!R51</f>
        <v>0.01524032825</v>
      </c>
    </row>
    <row r="11">
      <c r="A11" s="4" t="s">
        <v>13</v>
      </c>
      <c r="B11" s="6">
        <f>Dados!R52</f>
        <v>0.03165298945</v>
      </c>
    </row>
    <row r="12">
      <c r="A12" s="4" t="s">
        <v>14</v>
      </c>
      <c r="B12" s="6">
        <f>Dados!R53</f>
        <v>0.05275498242</v>
      </c>
    </row>
    <row r="13">
      <c r="A13" s="4" t="s">
        <v>15</v>
      </c>
      <c r="B13" s="6">
        <f>Dados!R54</f>
        <v>0.08323563892</v>
      </c>
    </row>
    <row r="14">
      <c r="A14" s="4" t="s">
        <v>16</v>
      </c>
      <c r="B14" s="6">
        <f>Dados!R32</f>
        <v>0.2919109027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14.25"/>
    <col customWidth="1" min="2" max="2" width="17.25"/>
    <col customWidth="1" min="3" max="16" width="7.0"/>
    <col customWidth="1" min="17" max="17" width="8.75"/>
    <col customWidth="1" min="18" max="18" width="8.5"/>
  </cols>
  <sheetData>
    <row r="1" ht="12.0" customHeight="1">
      <c r="A1" s="7" t="s">
        <v>17</v>
      </c>
    </row>
    <row r="2" ht="12.0" customHeight="1">
      <c r="A2" s="8" t="s">
        <v>18</v>
      </c>
      <c r="B2" s="8" t="s">
        <v>19</v>
      </c>
      <c r="C2" s="9">
        <v>6.0</v>
      </c>
      <c r="D2" s="9">
        <v>7.0</v>
      </c>
      <c r="E2" s="9">
        <v>8.0</v>
      </c>
      <c r="F2" s="9">
        <v>9.0</v>
      </c>
      <c r="G2" s="9">
        <v>10.0</v>
      </c>
      <c r="H2" s="9">
        <v>11.0</v>
      </c>
      <c r="I2" s="9">
        <v>12.0</v>
      </c>
      <c r="J2" s="9">
        <v>13.0</v>
      </c>
      <c r="K2" s="9">
        <v>14.0</v>
      </c>
      <c r="L2" s="9">
        <v>15.0</v>
      </c>
      <c r="M2" s="9">
        <v>16.0</v>
      </c>
      <c r="N2" s="9">
        <v>17.0</v>
      </c>
      <c r="O2" s="9">
        <v>18.0</v>
      </c>
      <c r="P2" s="9">
        <v>19.0</v>
      </c>
      <c r="Q2" s="10" t="s">
        <v>20</v>
      </c>
      <c r="R2" s="11" t="s">
        <v>21</v>
      </c>
    </row>
    <row r="3" ht="14.25" customHeight="1">
      <c r="A3" s="12" t="s">
        <v>22</v>
      </c>
      <c r="B3" s="12" t="s">
        <v>23</v>
      </c>
      <c r="C3" s="13">
        <f>ROUND(IF(ISBLANK(Original!C3),'Base projeção'!C3*'Base projeção'!$A$16,Original!C3),0)</f>
        <v>1</v>
      </c>
      <c r="D3" s="13">
        <f>ROUND(IF(ISBLANK(Original!D3),'Base projeção'!D3*'Base projeção'!$A$16,Original!D3),0)</f>
        <v>1</v>
      </c>
      <c r="E3" s="13">
        <f>ROUND(IF(ISBLANK(Original!E3),'Base projeção'!E3*'Base projeção'!$A$16,Original!E3),0)</f>
        <v>1</v>
      </c>
      <c r="F3" s="13">
        <f>ROUND(IF(ISBLANK(Original!F3),'Base projeção'!F3*'Base projeção'!$A$16,Original!F3),0)</f>
        <v>4</v>
      </c>
      <c r="G3" s="13">
        <f>ROUND(IF(ISBLANK(Original!G3),'Base projeção'!G3*'Base projeção'!$A$16,Original!G3),0)</f>
        <v>5</v>
      </c>
      <c r="H3" s="13">
        <f>ROUND(IF(ISBLANK(Original!H3),'Base projeção'!H3*'Base projeção'!$A$16,Original!H3),0)</f>
        <v>0</v>
      </c>
      <c r="I3" s="13">
        <f>ROUND(IF(ISBLANK(Original!I3),'Base projeção'!I3*'Base projeção'!$A$16,Original!I3),0)</f>
        <v>2</v>
      </c>
      <c r="J3" s="13">
        <f>ROUND(IF(ISBLANK(Original!J3),'Base projeção'!J3*'Base projeção'!$A$16,Original!J3),0)</f>
        <v>1</v>
      </c>
      <c r="K3" s="13">
        <f>ROUND(IF(ISBLANK(Original!K3),'Base projeção'!K3*'Base projeção'!$A$16,Original!K3),0)</f>
        <v>1</v>
      </c>
      <c r="L3" s="13">
        <f>ROUND(IF(ISBLANK(Original!L3),'Base projeção'!L3*'Base projeção'!$A$16,Original!L3),0)</f>
        <v>0</v>
      </c>
      <c r="M3" s="13">
        <f>ROUND(IF(ISBLANK(Original!M3),'Base projeção'!M3*'Base projeção'!$A$16,Original!M3),0)</f>
        <v>0</v>
      </c>
      <c r="N3" s="13">
        <f>ROUND(IF(ISBLANK(Original!N3),'Base projeção'!N3*'Base projeção'!$A$16,Original!N3),0)</f>
        <v>7</v>
      </c>
      <c r="O3" s="13">
        <f>ROUND(IF(ISBLANK(Original!O3),'Base projeção'!O3*'Base projeção'!$A$16,Original!O3),0)</f>
        <v>4</v>
      </c>
      <c r="P3" s="13">
        <f>ROUND(IF(ISBLANK(Original!P3),'Base projeção'!P3*'Base projeção'!$A$16,Original!P3),0)</f>
        <v>3</v>
      </c>
      <c r="Q3" s="10">
        <f t="shared" ref="Q3:Q14" si="1">SUM(C3:P3)</f>
        <v>30</v>
      </c>
      <c r="R3" s="11">
        <f t="shared" ref="R3:R14" si="2">Q3/$Q$15</f>
        <v>0.03516998828</v>
      </c>
    </row>
    <row r="4" ht="14.25" customHeight="1">
      <c r="A4" s="14" t="s">
        <v>22</v>
      </c>
      <c r="B4" s="14" t="s">
        <v>24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0">
        <f t="shared" si="1"/>
        <v>0</v>
      </c>
      <c r="R4" s="11">
        <f t="shared" si="2"/>
        <v>0</v>
      </c>
    </row>
    <row r="5" ht="14.25" customHeight="1">
      <c r="A5" s="12" t="s">
        <v>22</v>
      </c>
      <c r="B5" s="12" t="s">
        <v>25</v>
      </c>
      <c r="C5" s="13">
        <f>ROUND(IF(ISBLANK(Original!C5),'Base projeção'!C5*'Base projeção'!$A$16,Original!C5),0)</f>
        <v>8</v>
      </c>
      <c r="D5" s="13">
        <f>ROUND(IF(ISBLANK(Original!D5),'Base projeção'!D5*'Base projeção'!$A$16,Original!D5),0)</f>
        <v>14</v>
      </c>
      <c r="E5" s="13">
        <f>ROUND(IF(ISBLANK(Original!E5),'Base projeção'!E5*'Base projeção'!$A$16,Original!E5),0)</f>
        <v>11</v>
      </c>
      <c r="F5" s="13">
        <f>ROUND(IF(ISBLANK(Original!F5),'Base projeção'!F5*'Base projeção'!$A$16,Original!F5),0)</f>
        <v>7</v>
      </c>
      <c r="G5" s="13">
        <f>ROUND(IF(ISBLANK(Original!G5),'Base projeção'!G5*'Base projeção'!$A$16,Original!G5),0)</f>
        <v>11</v>
      </c>
      <c r="H5" s="13">
        <f>ROUND(IF(ISBLANK(Original!H5),'Base projeção'!H5*'Base projeção'!$A$16,Original!H5),0)</f>
        <v>2</v>
      </c>
      <c r="I5" s="13">
        <f>ROUND(IF(ISBLANK(Original!I5),'Base projeção'!I5*'Base projeção'!$A$16,Original!I5),0)</f>
        <v>11</v>
      </c>
      <c r="J5" s="13">
        <f>ROUND(IF(ISBLANK(Original!J5),'Base projeção'!J5*'Base projeção'!$A$16,Original!J5),0)</f>
        <v>1</v>
      </c>
      <c r="K5" s="13">
        <f>ROUND(IF(ISBLANK(Original!K5),'Base projeção'!K5*'Base projeção'!$A$16,Original!K5),0)</f>
        <v>12</v>
      </c>
      <c r="L5" s="13">
        <f>ROUND(IF(ISBLANK(Original!L5),'Base projeção'!L5*'Base projeção'!$A$16,Original!L5),0)</f>
        <v>2</v>
      </c>
      <c r="M5" s="13">
        <f>ROUND(IF(ISBLANK(Original!M5),'Base projeção'!M5*'Base projeção'!$A$16,Original!M5),0)</f>
        <v>11</v>
      </c>
      <c r="N5" s="13">
        <f>ROUND(IF(ISBLANK(Original!N5),'Base projeção'!N5*'Base projeção'!$A$16,Original!N5),0)</f>
        <v>19</v>
      </c>
      <c r="O5" s="13">
        <f>ROUND(IF(ISBLANK(Original!O5),'Base projeção'!O5*'Base projeção'!$A$16,Original!O5),0)</f>
        <v>10</v>
      </c>
      <c r="P5" s="13">
        <f>ROUND(IF(ISBLANK(Original!P5),'Base projeção'!P5*'Base projeção'!$A$16,Original!P5),0)</f>
        <v>5</v>
      </c>
      <c r="Q5" s="10">
        <f t="shared" si="1"/>
        <v>124</v>
      </c>
      <c r="R5" s="11">
        <f t="shared" si="2"/>
        <v>0.1453692849</v>
      </c>
    </row>
    <row r="6" ht="14.25" customHeight="1">
      <c r="A6" s="14" t="s">
        <v>25</v>
      </c>
      <c r="B6" s="14" t="s">
        <v>22</v>
      </c>
      <c r="C6" s="13">
        <f>ROUND(IF(ISBLANK(Original!C6),'Base projeção'!C6*'Base projeção'!$A$16,Original!C6),0)</f>
        <v>1</v>
      </c>
      <c r="D6" s="13">
        <f>ROUND(IF(ISBLANK(Original!D6),'Base projeção'!D6*'Base projeção'!$A$16,Original!D6),0)</f>
        <v>3</v>
      </c>
      <c r="E6" s="13">
        <f>ROUND(IF(ISBLANK(Original!E6),'Base projeção'!E6*'Base projeção'!$A$16,Original!E6),0)</f>
        <v>4</v>
      </c>
      <c r="F6" s="13">
        <f>ROUND(IF(ISBLANK(Original!F6),'Base projeção'!F6*'Base projeção'!$A$16,Original!F6),0)</f>
        <v>1</v>
      </c>
      <c r="G6" s="13">
        <f>ROUND(IF(ISBLANK(Original!G6),'Base projeção'!G6*'Base projeção'!$A$16,Original!G6),0)</f>
        <v>0</v>
      </c>
      <c r="H6" s="13">
        <f>ROUND(IF(ISBLANK(Original!H6),'Base projeção'!H6*'Base projeção'!$A$16,Original!H6),0)</f>
        <v>3</v>
      </c>
      <c r="I6" s="13">
        <f>ROUND(IF(ISBLANK(Original!I6),'Base projeção'!I6*'Base projeção'!$A$16,Original!I6),0)</f>
        <v>3</v>
      </c>
      <c r="J6" s="13">
        <f>ROUND(IF(ISBLANK(Original!J6),'Base projeção'!J6*'Base projeção'!$A$16,Original!J6),0)</f>
        <v>2</v>
      </c>
      <c r="K6" s="13">
        <f>ROUND(IF(ISBLANK(Original!K6),'Base projeção'!K6*'Base projeção'!$A$16,Original!K6),0)</f>
        <v>1</v>
      </c>
      <c r="L6" s="13">
        <f>ROUND(IF(ISBLANK(Original!L6),'Base projeção'!L6*'Base projeção'!$A$16,Original!L6),0)</f>
        <v>1</v>
      </c>
      <c r="M6" s="13">
        <f>ROUND(IF(ISBLANK(Original!M6),'Base projeção'!M6*'Base projeção'!$A$16,Original!M6),0)</f>
        <v>2</v>
      </c>
      <c r="N6" s="13">
        <f>ROUND(IF(ISBLANK(Original!N6),'Base projeção'!N6*'Base projeção'!$A$16,Original!N6),0)</f>
        <v>8</v>
      </c>
      <c r="O6" s="13">
        <f>ROUND(IF(ISBLANK(Original!O6),'Base projeção'!O6*'Base projeção'!$A$16,Original!O6),0)</f>
        <v>7</v>
      </c>
      <c r="P6" s="13">
        <f>ROUND(IF(ISBLANK(Original!P6),'Base projeção'!P6*'Base projeção'!$A$16,Original!P6),0)</f>
        <v>2</v>
      </c>
      <c r="Q6" s="10">
        <f t="shared" si="1"/>
        <v>38</v>
      </c>
      <c r="R6" s="11">
        <f t="shared" si="2"/>
        <v>0.04454865182</v>
      </c>
    </row>
    <row r="7" ht="14.25" customHeight="1">
      <c r="A7" s="12" t="s">
        <v>25</v>
      </c>
      <c r="B7" s="12" t="s">
        <v>23</v>
      </c>
      <c r="C7" s="13">
        <f>ROUND(IF(ISBLANK(Original!C7),'Base projeção'!C7*'Base projeção'!$A$16,Original!C7),0)</f>
        <v>10</v>
      </c>
      <c r="D7" s="13">
        <f>ROUND(IF(ISBLANK(Original!D7),'Base projeção'!D7*'Base projeção'!$A$16,Original!D7),0)</f>
        <v>7</v>
      </c>
      <c r="E7" s="13">
        <f>ROUND(IF(ISBLANK(Original!E7),'Base projeção'!E7*'Base projeção'!$A$16,Original!E7),0)</f>
        <v>6</v>
      </c>
      <c r="F7" s="13">
        <f>ROUND(IF(ISBLANK(Original!F7),'Base projeção'!F7*'Base projeção'!$A$16,Original!F7),0)</f>
        <v>9</v>
      </c>
      <c r="G7" s="13">
        <f>ROUND(IF(ISBLANK(Original!G7),'Base projeção'!G7*'Base projeção'!$A$16,Original!G7),0)</f>
        <v>5</v>
      </c>
      <c r="H7" s="13">
        <f>ROUND(IF(ISBLANK(Original!H7),'Base projeção'!H7*'Base projeção'!$A$16,Original!H7),0)</f>
        <v>4</v>
      </c>
      <c r="I7" s="13">
        <f>ROUND(IF(ISBLANK(Original!I7),'Base projeção'!I7*'Base projeção'!$A$16,Original!I7),0)</f>
        <v>12</v>
      </c>
      <c r="J7" s="13">
        <f>ROUND(IF(ISBLANK(Original!J7),'Base projeção'!J7*'Base projeção'!$A$16,Original!J7),0)</f>
        <v>3</v>
      </c>
      <c r="K7" s="13">
        <f>ROUND(IF(ISBLANK(Original!K7),'Base projeção'!K7*'Base projeção'!$A$16,Original!K7),0)</f>
        <v>10</v>
      </c>
      <c r="L7" s="13">
        <f>ROUND(IF(ISBLANK(Original!L7),'Base projeção'!L7*'Base projeção'!$A$16,Original!L7),0)</f>
        <v>4</v>
      </c>
      <c r="M7" s="13">
        <f>ROUND(IF(ISBLANK(Original!M7),'Base projeção'!M7*'Base projeção'!$A$16,Original!M7),0)</f>
        <v>12</v>
      </c>
      <c r="N7" s="13">
        <f>ROUND(IF(ISBLANK(Original!N7),'Base projeção'!N7*'Base projeção'!$A$16,Original!N7),0)</f>
        <v>34</v>
      </c>
      <c r="O7" s="13">
        <f>ROUND(IF(ISBLANK(Original!O7),'Base projeção'!O7*'Base projeção'!$A$16,Original!O7),0)</f>
        <v>27</v>
      </c>
      <c r="P7" s="13">
        <f>ROUND(IF(ISBLANK(Original!P7),'Base projeção'!P7*'Base projeção'!$A$16,Original!P7),0)</f>
        <v>19</v>
      </c>
      <c r="Q7" s="10">
        <f t="shared" si="1"/>
        <v>162</v>
      </c>
      <c r="R7" s="11">
        <f t="shared" si="2"/>
        <v>0.1899179367</v>
      </c>
    </row>
    <row r="8" ht="14.25" customHeight="1">
      <c r="A8" s="14" t="s">
        <v>25</v>
      </c>
      <c r="B8" s="14" t="s">
        <v>24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0">
        <f t="shared" si="1"/>
        <v>0</v>
      </c>
      <c r="R8" s="11">
        <f t="shared" si="2"/>
        <v>0</v>
      </c>
    </row>
    <row r="9" ht="14.25" customHeight="1">
      <c r="A9" s="12" t="s">
        <v>24</v>
      </c>
      <c r="B9" s="12" t="s">
        <v>25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0">
        <f t="shared" si="1"/>
        <v>0</v>
      </c>
      <c r="R9" s="11">
        <f t="shared" si="2"/>
        <v>0</v>
      </c>
    </row>
    <row r="10" ht="14.25" customHeight="1">
      <c r="A10" s="14" t="s">
        <v>26</v>
      </c>
      <c r="B10" s="14" t="s">
        <v>22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0">
        <f t="shared" si="1"/>
        <v>0</v>
      </c>
      <c r="R10" s="11">
        <f t="shared" si="2"/>
        <v>0</v>
      </c>
    </row>
    <row r="11" ht="14.25" customHeight="1">
      <c r="A11" s="12" t="s">
        <v>24</v>
      </c>
      <c r="B11" s="12" t="s">
        <v>23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0">
        <f t="shared" si="1"/>
        <v>0</v>
      </c>
      <c r="R11" s="11">
        <f t="shared" si="2"/>
        <v>0</v>
      </c>
    </row>
    <row r="12" ht="14.25" customHeight="1">
      <c r="A12" s="15" t="s">
        <v>23</v>
      </c>
      <c r="B12" s="16" t="s">
        <v>24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0">
        <f t="shared" si="1"/>
        <v>0</v>
      </c>
      <c r="R12" s="11">
        <f t="shared" si="2"/>
        <v>0</v>
      </c>
    </row>
    <row r="13" ht="14.25" customHeight="1">
      <c r="A13" s="17" t="s">
        <v>23</v>
      </c>
      <c r="B13" s="17" t="s">
        <v>25</v>
      </c>
      <c r="C13" s="13">
        <f>ROUND(IF(ISBLANK(Original!C13),'Base projeção'!C13*'Base projeção'!$A$16,Original!C13),0)</f>
        <v>73</v>
      </c>
      <c r="D13" s="13">
        <f>ROUND(IF(ISBLANK(Original!D13),'Base projeção'!D13*'Base projeção'!$A$16,Original!D13),0)</f>
        <v>70</v>
      </c>
      <c r="E13" s="13">
        <f>ROUND(IF(ISBLANK(Original!E13),'Base projeção'!E13*'Base projeção'!$A$16,Original!E13),0)</f>
        <v>43</v>
      </c>
      <c r="F13" s="13">
        <f>ROUND(IF(ISBLANK(Original!F13),'Base projeção'!F13*'Base projeção'!$A$16,Original!F13),0)</f>
        <v>20</v>
      </c>
      <c r="G13" s="13">
        <f>ROUND(IF(ISBLANK(Original!G13),'Base projeção'!G13*'Base projeção'!$A$16,Original!G13),0)</f>
        <v>14</v>
      </c>
      <c r="H13" s="13">
        <f>ROUND(IF(ISBLANK(Original!H13),'Base projeção'!H13*'Base projeção'!$A$16,Original!H13),0)</f>
        <v>26</v>
      </c>
      <c r="I13" s="13">
        <f>ROUND(IF(ISBLANK(Original!I13),'Base projeção'!I13*'Base projeção'!$A$16,Original!I13),0)</f>
        <v>24</v>
      </c>
      <c r="J13" s="13">
        <f>ROUND(IF(ISBLANK(Original!J13),'Base projeção'!J13*'Base projeção'!$A$16,Original!J13),0)</f>
        <v>19</v>
      </c>
      <c r="K13" s="13">
        <f>ROUND(IF(ISBLANK(Original!K13),'Base projeção'!K13*'Base projeção'!$A$16,Original!K13),0)</f>
        <v>27</v>
      </c>
      <c r="L13" s="13">
        <f>ROUND(IF(ISBLANK(Original!L13),'Base projeção'!L13*'Base projeção'!$A$16,Original!L13),0)</f>
        <v>20</v>
      </c>
      <c r="M13" s="13">
        <f>ROUND(IF(ISBLANK(Original!M13),'Base projeção'!M13*'Base projeção'!$A$16,Original!M13),0)</f>
        <v>13</v>
      </c>
      <c r="N13" s="13">
        <f>ROUND(IF(ISBLANK(Original!N13),'Base projeção'!N13*'Base projeção'!$A$16,Original!N13),0)</f>
        <v>44</v>
      </c>
      <c r="O13" s="13">
        <f>ROUND(IF(ISBLANK(Original!O13),'Base projeção'!O13*'Base projeção'!$A$16,Original!O13),0)</f>
        <v>34</v>
      </c>
      <c r="P13" s="13">
        <f>ROUND(IF(ISBLANK(Original!P13),'Base projeção'!P13*'Base projeção'!$A$16,Original!P13),0)</f>
        <v>27</v>
      </c>
      <c r="Q13" s="10">
        <f t="shared" si="1"/>
        <v>454</v>
      </c>
      <c r="R13" s="11">
        <f t="shared" si="2"/>
        <v>0.5322391559</v>
      </c>
    </row>
    <row r="14" ht="14.25" customHeight="1">
      <c r="A14" s="16" t="s">
        <v>23</v>
      </c>
      <c r="B14" s="16" t="s">
        <v>22</v>
      </c>
      <c r="C14" s="13">
        <f>ROUND(IF(ISBLANK(Original!C14),'Base projeção'!C14*'Base projeção'!$A$16,Original!C14),0)</f>
        <v>3</v>
      </c>
      <c r="D14" s="13">
        <f>ROUND(IF(ISBLANK(Original!D14),'Base projeção'!D14*'Base projeção'!$A$16,Original!D14),0)</f>
        <v>5</v>
      </c>
      <c r="E14" s="13">
        <f>ROUND(IF(ISBLANK(Original!E14),'Base projeção'!E14*'Base projeção'!$A$16,Original!E14),0)</f>
        <v>4</v>
      </c>
      <c r="F14" s="13">
        <f>ROUND(IF(ISBLANK(Original!F14),'Base projeção'!F14*'Base projeção'!$A$16,Original!F14),0)</f>
        <v>2</v>
      </c>
      <c r="G14" s="13">
        <f>ROUND(IF(ISBLANK(Original!G14),'Base projeção'!G14*'Base projeção'!$A$16,Original!G14),0)</f>
        <v>1</v>
      </c>
      <c r="H14" s="13">
        <f>ROUND(IF(ISBLANK(Original!H14),'Base projeção'!H14*'Base projeção'!$A$16,Original!H14),0)</f>
        <v>4</v>
      </c>
      <c r="I14" s="13">
        <f>ROUND(IF(ISBLANK(Original!I14),'Base projeção'!I14*'Base projeção'!$A$16,Original!I14),0)</f>
        <v>3</v>
      </c>
      <c r="J14" s="13">
        <f>ROUND(IF(ISBLANK(Original!J14),'Base projeção'!J14*'Base projeção'!$A$16,Original!J14),0)</f>
        <v>4</v>
      </c>
      <c r="K14" s="13">
        <f>ROUND(IF(ISBLANK(Original!K14),'Base projeção'!K14*'Base projeção'!$A$16,Original!K14),0)</f>
        <v>1</v>
      </c>
      <c r="L14" s="13">
        <f>ROUND(IF(ISBLANK(Original!L14),'Base projeção'!L14*'Base projeção'!$A$16,Original!L14),0)</f>
        <v>2</v>
      </c>
      <c r="M14" s="13">
        <f>ROUND(IF(ISBLANK(Original!M14),'Base projeção'!M14*'Base projeção'!$A$16,Original!M14),0)</f>
        <v>1</v>
      </c>
      <c r="N14" s="13">
        <f>ROUND(IF(ISBLANK(Original!N14),'Base projeção'!N14*'Base projeção'!$A$16,Original!N14),0)</f>
        <v>11</v>
      </c>
      <c r="O14" s="13">
        <f>ROUND(IF(ISBLANK(Original!O14),'Base projeção'!O14*'Base projeção'!$A$16,Original!O14),0)</f>
        <v>1</v>
      </c>
      <c r="P14" s="13">
        <f>ROUND(IF(ISBLANK(Original!P14),'Base projeção'!P14*'Base projeção'!$A$16,Original!P14),0)</f>
        <v>3</v>
      </c>
      <c r="Q14" s="10">
        <f t="shared" si="1"/>
        <v>45</v>
      </c>
      <c r="R14" s="11">
        <f t="shared" si="2"/>
        <v>0.05275498242</v>
      </c>
    </row>
    <row r="15" ht="14.25" customHeight="1">
      <c r="A15" s="18"/>
      <c r="B15" s="19" t="s">
        <v>20</v>
      </c>
      <c r="C15" s="10">
        <f t="shared" ref="C15:P15" si="3">SUM(C3:C14)</f>
        <v>96</v>
      </c>
      <c r="D15" s="10">
        <f t="shared" si="3"/>
        <v>100</v>
      </c>
      <c r="E15" s="10">
        <f t="shared" si="3"/>
        <v>69</v>
      </c>
      <c r="F15" s="10">
        <f t="shared" si="3"/>
        <v>43</v>
      </c>
      <c r="G15" s="10">
        <f t="shared" si="3"/>
        <v>36</v>
      </c>
      <c r="H15" s="10">
        <f t="shared" si="3"/>
        <v>39</v>
      </c>
      <c r="I15" s="10">
        <f t="shared" si="3"/>
        <v>55</v>
      </c>
      <c r="J15" s="10">
        <f t="shared" si="3"/>
        <v>30</v>
      </c>
      <c r="K15" s="10">
        <f t="shared" si="3"/>
        <v>52</v>
      </c>
      <c r="L15" s="10">
        <f t="shared" si="3"/>
        <v>29</v>
      </c>
      <c r="M15" s="10">
        <f t="shared" si="3"/>
        <v>39</v>
      </c>
      <c r="N15" s="10">
        <f t="shared" si="3"/>
        <v>123</v>
      </c>
      <c r="O15" s="10">
        <f t="shared" si="3"/>
        <v>83</v>
      </c>
      <c r="P15" s="10">
        <f t="shared" si="3"/>
        <v>59</v>
      </c>
      <c r="Q15" s="10">
        <f>SUM(Q$3:Q$14)</f>
        <v>853</v>
      </c>
      <c r="R15" s="20"/>
    </row>
    <row r="16" ht="13.5" customHeight="1">
      <c r="A16" s="21"/>
      <c r="B16" s="22" t="s">
        <v>27</v>
      </c>
      <c r="C16" s="23">
        <f t="shared" ref="C16:P16" si="4">C15/$Q$15</f>
        <v>0.1125439625</v>
      </c>
      <c r="D16" s="23">
        <f t="shared" si="4"/>
        <v>0.1172332943</v>
      </c>
      <c r="E16" s="23">
        <f t="shared" si="4"/>
        <v>0.08089097304</v>
      </c>
      <c r="F16" s="23">
        <f t="shared" si="4"/>
        <v>0.05041031653</v>
      </c>
      <c r="G16" s="23">
        <f t="shared" si="4"/>
        <v>0.04220398593</v>
      </c>
      <c r="H16" s="23">
        <f t="shared" si="4"/>
        <v>0.04572098476</v>
      </c>
      <c r="I16" s="23">
        <f t="shared" si="4"/>
        <v>0.06447831184</v>
      </c>
      <c r="J16" s="23">
        <f t="shared" si="4"/>
        <v>0.03516998828</v>
      </c>
      <c r="K16" s="23">
        <f t="shared" si="4"/>
        <v>0.06096131301</v>
      </c>
      <c r="L16" s="23">
        <f t="shared" si="4"/>
        <v>0.03399765533</v>
      </c>
      <c r="M16" s="23">
        <f t="shared" si="4"/>
        <v>0.04572098476</v>
      </c>
      <c r="N16" s="23">
        <f t="shared" si="4"/>
        <v>0.1441969519</v>
      </c>
      <c r="O16" s="23">
        <f t="shared" si="4"/>
        <v>0.09730363423</v>
      </c>
      <c r="P16" s="23">
        <f t="shared" si="4"/>
        <v>0.06916764361</v>
      </c>
      <c r="Q16" s="23">
        <f>SUM(C16:P16)</f>
        <v>1</v>
      </c>
      <c r="R16" s="20"/>
    </row>
    <row r="17" ht="13.5" customHeight="1">
      <c r="A17" s="24"/>
      <c r="B17" s="24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6"/>
    </row>
    <row r="18" ht="12.0" customHeight="1">
      <c r="A18" s="27"/>
      <c r="B18" s="7" t="s">
        <v>28</v>
      </c>
    </row>
    <row r="19" ht="12.0" customHeight="1">
      <c r="A19" s="27"/>
      <c r="B19" s="8" t="s">
        <v>29</v>
      </c>
      <c r="C19" s="9">
        <v>6.0</v>
      </c>
      <c r="D19" s="9">
        <v>7.0</v>
      </c>
      <c r="E19" s="9">
        <v>8.0</v>
      </c>
      <c r="F19" s="9">
        <v>9.0</v>
      </c>
      <c r="G19" s="9">
        <v>10.0</v>
      </c>
      <c r="H19" s="9">
        <v>11.0</v>
      </c>
      <c r="I19" s="9">
        <v>12.0</v>
      </c>
      <c r="J19" s="9">
        <v>13.0</v>
      </c>
      <c r="K19" s="9">
        <v>14.0</v>
      </c>
      <c r="L19" s="9">
        <v>15.0</v>
      </c>
      <c r="M19" s="9">
        <v>16.0</v>
      </c>
      <c r="N19" s="9">
        <v>17.0</v>
      </c>
      <c r="O19" s="9">
        <v>18.0</v>
      </c>
      <c r="P19" s="9">
        <v>19.0</v>
      </c>
      <c r="Q19" s="10" t="s">
        <v>20</v>
      </c>
      <c r="R19" s="11" t="s">
        <v>21</v>
      </c>
    </row>
    <row r="20" ht="14.25" customHeight="1">
      <c r="A20" s="28"/>
      <c r="B20" s="29" t="s">
        <v>9</v>
      </c>
      <c r="C20" s="30">
        <f>ROUND(IF(ISBLANK(Original!C20),'Base projeção'!C20*'Base projeção'!$A$16,Original!C20),0)</f>
        <v>5</v>
      </c>
      <c r="D20" s="30">
        <f>ROUND(IF(ISBLANK(Original!D20),'Base projeção'!D20*'Base projeção'!$A$16,Original!D20),0)</f>
        <v>12</v>
      </c>
      <c r="E20" s="30">
        <f>ROUND(IF(ISBLANK(Original!E20),'Base projeção'!E20*'Base projeção'!$A$16,Original!E20),0)</f>
        <v>8</v>
      </c>
      <c r="F20" s="30">
        <f>ROUND(IF(ISBLANK(Original!F20),'Base projeção'!F20*'Base projeção'!$A$16,Original!F20),0)</f>
        <v>8</v>
      </c>
      <c r="G20" s="30">
        <f>ROUND(IF(ISBLANK(Original!G20),'Base projeção'!G20*'Base projeção'!$A$16,Original!G20),0)</f>
        <v>1</v>
      </c>
      <c r="H20" s="30">
        <f>ROUND(IF(ISBLANK(Original!H20),'Base projeção'!H20*'Base projeção'!$A$16,Original!H20),0)</f>
        <v>4</v>
      </c>
      <c r="I20" s="30">
        <f>ROUND(IF(ISBLANK(Original!I20),'Base projeção'!I20*'Base projeção'!$A$16,Original!I20),0)</f>
        <v>1</v>
      </c>
      <c r="J20" s="30">
        <f>ROUND(IF(ISBLANK(Original!J20),'Base projeção'!J20*'Base projeção'!$A$16,Original!J20),0)</f>
        <v>5</v>
      </c>
      <c r="K20" s="30">
        <f>ROUND(IF(ISBLANK(Original!K20),'Base projeção'!K20*'Base projeção'!$A$16,Original!K20),0)</f>
        <v>8</v>
      </c>
      <c r="L20" s="30">
        <f>ROUND(IF(ISBLANK(Original!L20),'Base projeção'!L20*'Base projeção'!$A$16,Original!L20),0)</f>
        <v>1</v>
      </c>
      <c r="M20" s="30">
        <f>ROUND(IF(ISBLANK(Original!M20),'Base projeção'!M20*'Base projeção'!$A$16,Original!M20),0)</f>
        <v>2</v>
      </c>
      <c r="N20" s="30">
        <f>ROUND(IF(ISBLANK(Original!N20),'Base projeção'!N20*'Base projeção'!$A$16,Original!N20),0)</f>
        <v>5</v>
      </c>
      <c r="O20" s="30">
        <f>ROUND(IF(ISBLANK(Original!O20),'Base projeção'!O20*'Base projeção'!$A$16,Original!O20),0)</f>
        <v>10</v>
      </c>
      <c r="P20" s="30">
        <f>ROUND(IF(ISBLANK(Original!P20),'Base projeção'!P20*'Base projeção'!$A$16,Original!P20),0)</f>
        <v>5</v>
      </c>
      <c r="Q20" s="10">
        <f t="shared" ref="Q20:Q32" si="5">SUM(C20:P20)</f>
        <v>75</v>
      </c>
      <c r="R20" s="11">
        <f t="shared" ref="R20:R32" si="6">Q20/$Q$15</f>
        <v>0.08792497069</v>
      </c>
    </row>
    <row r="21" ht="14.25" customHeight="1">
      <c r="A21" s="28"/>
      <c r="B21" s="31" t="s">
        <v>10</v>
      </c>
      <c r="C21" s="30">
        <f>ROUND(IF(ISBLANK(Original!C21),'Base projeção'!C21*'Base projeção'!$A$16,Original!C21),0)</f>
        <v>5</v>
      </c>
      <c r="D21" s="30">
        <f>ROUND(IF(ISBLANK(Original!D21),'Base projeção'!D21*'Base projeção'!$A$16,Original!D21),0)</f>
        <v>0</v>
      </c>
      <c r="E21" s="30">
        <f>ROUND(IF(ISBLANK(Original!E21),'Base projeção'!E21*'Base projeção'!$A$16,Original!E21),0)</f>
        <v>0</v>
      </c>
      <c r="F21" s="30">
        <f>ROUND(IF(ISBLANK(Original!F21),'Base projeção'!F21*'Base projeção'!$A$16,Original!F21),0)</f>
        <v>0</v>
      </c>
      <c r="G21" s="30">
        <f>ROUND(IF(ISBLANK(Original!G21),'Base projeção'!G21*'Base projeção'!$A$16,Original!G21),0)</f>
        <v>0</v>
      </c>
      <c r="H21" s="30">
        <f>ROUND(IF(ISBLANK(Original!H21),'Base projeção'!H21*'Base projeção'!$A$16,Original!H21),0)</f>
        <v>0</v>
      </c>
      <c r="I21" s="30">
        <f>ROUND(IF(ISBLANK(Original!I21),'Base projeção'!I21*'Base projeção'!$A$16,Original!I21),0)</f>
        <v>11</v>
      </c>
      <c r="J21" s="30">
        <f>ROUND(IF(ISBLANK(Original!J21),'Base projeção'!J21*'Base projeção'!$A$16,Original!J21),0)</f>
        <v>8</v>
      </c>
      <c r="K21" s="30">
        <f>ROUND(IF(ISBLANK(Original!K21),'Base projeção'!K21*'Base projeção'!$A$16,Original!K21),0)</f>
        <v>4</v>
      </c>
      <c r="L21" s="30">
        <f>ROUND(IF(ISBLANK(Original!L21),'Base projeção'!L21*'Base projeção'!$A$16,Original!L21),0)</f>
        <v>6</v>
      </c>
      <c r="M21" s="30">
        <f>ROUND(IF(ISBLANK(Original!M21),'Base projeção'!M21*'Base projeção'!$A$16,Original!M21),0)</f>
        <v>1</v>
      </c>
      <c r="N21" s="30">
        <f>ROUND(IF(ISBLANK(Original!N21),'Base projeção'!N21*'Base projeção'!$A$16,Original!N21),0)</f>
        <v>0</v>
      </c>
      <c r="O21" s="30">
        <f>ROUND(IF(ISBLANK(Original!O21),'Base projeção'!O21*'Base projeção'!$A$16,Original!O21),0)</f>
        <v>0</v>
      </c>
      <c r="P21" s="30">
        <f>ROUND(IF(ISBLANK(Original!P21),'Base projeção'!P21*'Base projeção'!$A$16,Original!P21),0)</f>
        <v>4</v>
      </c>
      <c r="Q21" s="10">
        <f t="shared" si="5"/>
        <v>39</v>
      </c>
      <c r="R21" s="11">
        <f t="shared" si="6"/>
        <v>0.04572098476</v>
      </c>
    </row>
    <row r="22" ht="14.25" customHeight="1">
      <c r="A22" s="28"/>
      <c r="B22" s="29" t="s">
        <v>11</v>
      </c>
      <c r="C22" s="30">
        <f>ROUND(IF(ISBLANK(Original!C22),'Base projeção'!C22*'Base projeção'!$A$16,Original!C22),0)</f>
        <v>11</v>
      </c>
      <c r="D22" s="30">
        <f>ROUND(IF(ISBLANK(Original!D22),'Base projeção'!D22*'Base projeção'!$A$16,Original!D22),0)</f>
        <v>15</v>
      </c>
      <c r="E22" s="30">
        <f>ROUND(IF(ISBLANK(Original!E22),'Base projeção'!E22*'Base projeção'!$A$16,Original!E22),0)</f>
        <v>13</v>
      </c>
      <c r="F22" s="30">
        <f>ROUND(IF(ISBLANK(Original!F22),'Base projeção'!F22*'Base projeção'!$A$16,Original!F22),0)</f>
        <v>9</v>
      </c>
      <c r="G22" s="30">
        <f>ROUND(IF(ISBLANK(Original!G22),'Base projeção'!G22*'Base projeção'!$A$16,Original!G22),0)</f>
        <v>5</v>
      </c>
      <c r="H22" s="30">
        <f>ROUND(IF(ISBLANK(Original!H22),'Base projeção'!H22*'Base projeção'!$A$16,Original!H22),0)</f>
        <v>8</v>
      </c>
      <c r="I22" s="30">
        <f>ROUND(IF(ISBLANK(Original!I22),'Base projeção'!I22*'Base projeção'!$A$16,Original!I22),0)</f>
        <v>8</v>
      </c>
      <c r="J22" s="30">
        <f>ROUND(IF(ISBLANK(Original!J22),'Base projeção'!J22*'Base projeção'!$A$16,Original!J22),0)</f>
        <v>3</v>
      </c>
      <c r="K22" s="30">
        <f>ROUND(IF(ISBLANK(Original!K22),'Base projeção'!K22*'Base projeção'!$A$16,Original!K22),0)</f>
        <v>5</v>
      </c>
      <c r="L22" s="30">
        <f>ROUND(IF(ISBLANK(Original!L22),'Base projeção'!L22*'Base projeção'!$A$16,Original!L22),0)</f>
        <v>4</v>
      </c>
      <c r="M22" s="30">
        <f>ROUND(IF(ISBLANK(Original!M22),'Base projeção'!M22*'Base projeção'!$A$16,Original!M22),0)</f>
        <v>5</v>
      </c>
      <c r="N22" s="30">
        <f>ROUND(IF(ISBLANK(Original!N22),'Base projeção'!N22*'Base projeção'!$A$16,Original!N22),0)</f>
        <v>4</v>
      </c>
      <c r="O22" s="30">
        <f>ROUND(IF(ISBLANK(Original!O22),'Base projeção'!O22*'Base projeção'!$A$16,Original!O22),0)</f>
        <v>3</v>
      </c>
      <c r="P22" s="30">
        <f>ROUND(IF(ISBLANK(Original!P22),'Base projeção'!P22*'Base projeção'!$A$16,Original!P22),0)</f>
        <v>19</v>
      </c>
      <c r="Q22" s="10">
        <f t="shared" si="5"/>
        <v>112</v>
      </c>
      <c r="R22" s="11">
        <f t="shared" si="6"/>
        <v>0.1313012896</v>
      </c>
    </row>
    <row r="23" ht="14.25" customHeight="1">
      <c r="A23" s="28"/>
      <c r="B23" s="31" t="s">
        <v>30</v>
      </c>
      <c r="C23" s="30">
        <f>ROUND(IF(ISBLANK(Original!C23),'Base projeção'!C23*'Base projeção'!$A$16,Original!C23),0)</f>
        <v>1</v>
      </c>
      <c r="D23" s="30">
        <f>ROUND(IF(ISBLANK(Original!D23),'Base projeção'!D23*'Base projeção'!$A$16,Original!D23),0)</f>
        <v>2</v>
      </c>
      <c r="E23" s="30">
        <f>ROUND(IF(ISBLANK(Original!E23),'Base projeção'!E23*'Base projeção'!$A$16,Original!E23),0)</f>
        <v>2</v>
      </c>
      <c r="F23" s="30">
        <f>ROUND(IF(ISBLANK(Original!F23),'Base projeção'!F23*'Base projeção'!$A$16,Original!F23),0)</f>
        <v>0</v>
      </c>
      <c r="G23" s="30">
        <f>ROUND(IF(ISBLANK(Original!G23),'Base projeção'!G23*'Base projeção'!$A$16,Original!G23),0)</f>
        <v>0</v>
      </c>
      <c r="H23" s="30">
        <f>ROUND(IF(ISBLANK(Original!H23),'Base projeção'!H23*'Base projeção'!$A$16,Original!H23),0)</f>
        <v>0</v>
      </c>
      <c r="I23" s="30">
        <f>ROUND(IF(ISBLANK(Original!I23),'Base projeção'!I23*'Base projeção'!$A$16,Original!I23),0)</f>
        <v>0</v>
      </c>
      <c r="J23" s="30">
        <f>ROUND(IF(ISBLANK(Original!J23),'Base projeção'!J23*'Base projeção'!$A$16,Original!J23),0)</f>
        <v>0</v>
      </c>
      <c r="K23" s="30">
        <f>ROUND(IF(ISBLANK(Original!K23),'Base projeção'!K23*'Base projeção'!$A$16,Original!K23),0)</f>
        <v>0</v>
      </c>
      <c r="L23" s="30">
        <f>ROUND(IF(ISBLANK(Original!L23),'Base projeção'!L23*'Base projeção'!$A$16,Original!L23),0)</f>
        <v>0</v>
      </c>
      <c r="M23" s="30">
        <f>ROUND(IF(ISBLANK(Original!M23),'Base projeção'!M23*'Base projeção'!$A$16,Original!M23),0)</f>
        <v>0</v>
      </c>
      <c r="N23" s="30">
        <f>ROUND(IF(ISBLANK(Original!N23),'Base projeção'!N23*'Base projeção'!$A$16,Original!N23),0)</f>
        <v>0</v>
      </c>
      <c r="O23" s="30">
        <f>ROUND(IF(ISBLANK(Original!O23),'Base projeção'!O23*'Base projeção'!$A$16,Original!O23),0)</f>
        <v>4</v>
      </c>
      <c r="P23" s="30">
        <f>ROUND(IF(ISBLANK(Original!P23),'Base projeção'!P23*'Base projeção'!$A$16,Original!P23),0)</f>
        <v>0</v>
      </c>
      <c r="Q23" s="10">
        <f t="shared" si="5"/>
        <v>9</v>
      </c>
      <c r="R23" s="11">
        <f t="shared" si="6"/>
        <v>0.01055099648</v>
      </c>
    </row>
    <row r="24" ht="14.25" customHeight="1">
      <c r="A24" s="28"/>
      <c r="B24" s="29" t="s">
        <v>31</v>
      </c>
      <c r="C24" s="30">
        <f>ROUND(IF(ISBLANK(Original!C24),'Base projeção'!C24*'Base projeção'!$A$16,Original!C24),0)</f>
        <v>1</v>
      </c>
      <c r="D24" s="30">
        <f>ROUND(IF(ISBLANK(Original!D24),'Base projeção'!D24*'Base projeção'!$A$16,Original!D24),0)</f>
        <v>1</v>
      </c>
      <c r="E24" s="30">
        <f>ROUND(IF(ISBLANK(Original!E24),'Base projeção'!E24*'Base projeção'!$A$16,Original!E24),0)</f>
        <v>1</v>
      </c>
      <c r="F24" s="30">
        <f>ROUND(IF(ISBLANK(Original!F24),'Base projeção'!F24*'Base projeção'!$A$16,Original!F24),0)</f>
        <v>0</v>
      </c>
      <c r="G24" s="30">
        <f>ROUND(IF(ISBLANK(Original!G24),'Base projeção'!G24*'Base projeção'!$A$16,Original!G24),0)</f>
        <v>0</v>
      </c>
      <c r="H24" s="30">
        <f>ROUND(IF(ISBLANK(Original!H24),'Base projeção'!H24*'Base projeção'!$A$16,Original!H24),0)</f>
        <v>0</v>
      </c>
      <c r="I24" s="30">
        <f>ROUND(IF(ISBLANK(Original!I24),'Base projeção'!I24*'Base projeção'!$A$16,Original!I24),0)</f>
        <v>0</v>
      </c>
      <c r="J24" s="30">
        <f>ROUND(IF(ISBLANK(Original!J24),'Base projeção'!J24*'Base projeção'!$A$16,Original!J24),0)</f>
        <v>0</v>
      </c>
      <c r="K24" s="30">
        <f>ROUND(IF(ISBLANK(Original!K24),'Base projeção'!K24*'Base projeção'!$A$16,Original!K24),0)</f>
        <v>0</v>
      </c>
      <c r="L24" s="30">
        <f>ROUND(IF(ISBLANK(Original!L24),'Base projeção'!L24*'Base projeção'!$A$16,Original!L24),0)</f>
        <v>0</v>
      </c>
      <c r="M24" s="30">
        <f>ROUND(IF(ISBLANK(Original!M24),'Base projeção'!M24*'Base projeção'!$A$16,Original!M24),0)</f>
        <v>0</v>
      </c>
      <c r="N24" s="30">
        <f>ROUND(IF(ISBLANK(Original!N24),'Base projeção'!N24*'Base projeção'!$A$16,Original!N24),0)</f>
        <v>1</v>
      </c>
      <c r="O24" s="30">
        <f>ROUND(IF(ISBLANK(Original!O24),'Base projeção'!O24*'Base projeção'!$A$16,Original!O24),0)</f>
        <v>0</v>
      </c>
      <c r="P24" s="30">
        <f>ROUND(IF(ISBLANK(Original!P24),'Base projeção'!P24*'Base projeção'!$A$16,Original!P24),0)</f>
        <v>0</v>
      </c>
      <c r="Q24" s="10">
        <f t="shared" si="5"/>
        <v>4</v>
      </c>
      <c r="R24" s="11">
        <f t="shared" si="6"/>
        <v>0.00468933177</v>
      </c>
    </row>
    <row r="25" ht="14.25" customHeight="1">
      <c r="A25" s="28"/>
      <c r="B25" s="31" t="s">
        <v>32</v>
      </c>
      <c r="C25" s="30">
        <f>ROUND(IF(ISBLANK(Original!C25),'Base projeção'!C25*'Base projeção'!$A$16,Original!C25),0)</f>
        <v>0</v>
      </c>
      <c r="D25" s="30">
        <f>ROUND(IF(ISBLANK(Original!D25),'Base projeção'!D25*'Base projeção'!$A$16,Original!D25),0)</f>
        <v>0</v>
      </c>
      <c r="E25" s="30">
        <f>ROUND(IF(ISBLANK(Original!E25),'Base projeção'!E25*'Base projeção'!$A$16,Original!E25),0)</f>
        <v>0</v>
      </c>
      <c r="F25" s="30">
        <f>ROUND(IF(ISBLANK(Original!F25),'Base projeção'!F25*'Base projeção'!$A$16,Original!F25),0)</f>
        <v>0</v>
      </c>
      <c r="G25" s="30">
        <f>ROUND(IF(ISBLANK(Original!G25),'Base projeção'!G25*'Base projeção'!$A$16,Original!G25),0)</f>
        <v>0</v>
      </c>
      <c r="H25" s="30">
        <f>ROUND(IF(ISBLANK(Original!H25),'Base projeção'!H25*'Base projeção'!$A$16,Original!H25),0)</f>
        <v>0</v>
      </c>
      <c r="I25" s="30">
        <f>ROUND(IF(ISBLANK(Original!I25),'Base projeção'!I25*'Base projeção'!$A$16,Original!I25),0)</f>
        <v>0</v>
      </c>
      <c r="J25" s="30">
        <f>ROUND(IF(ISBLANK(Original!J25),'Base projeção'!J25*'Base projeção'!$A$16,Original!J25),0)</f>
        <v>0</v>
      </c>
      <c r="K25" s="30">
        <f>ROUND(IF(ISBLANK(Original!K25),'Base projeção'!K25*'Base projeção'!$A$16,Original!K25),0)</f>
        <v>0</v>
      </c>
      <c r="L25" s="30">
        <f>ROUND(IF(ISBLANK(Original!L25),'Base projeção'!L25*'Base projeção'!$A$16,Original!L25),0)</f>
        <v>0</v>
      </c>
      <c r="M25" s="30">
        <f>ROUND(IF(ISBLANK(Original!M25),'Base projeção'!M25*'Base projeção'!$A$16,Original!M25),0)</f>
        <v>0</v>
      </c>
      <c r="N25" s="30">
        <f>ROUND(IF(ISBLANK(Original!N25),'Base projeção'!N25*'Base projeção'!$A$16,Original!N25),0)</f>
        <v>0</v>
      </c>
      <c r="O25" s="30">
        <f>ROUND(IF(ISBLANK(Original!O25),'Base projeção'!O25*'Base projeção'!$A$16,Original!O25),0)</f>
        <v>0</v>
      </c>
      <c r="P25" s="30">
        <f>ROUND(IF(ISBLANK(Original!P25),'Base projeção'!P25*'Base projeção'!$A$16,Original!P25),0)</f>
        <v>0</v>
      </c>
      <c r="Q25" s="10">
        <f t="shared" si="5"/>
        <v>0</v>
      </c>
      <c r="R25" s="11">
        <f t="shared" si="6"/>
        <v>0</v>
      </c>
    </row>
    <row r="26" ht="14.25" customHeight="1">
      <c r="A26" s="28"/>
      <c r="B26" s="29" t="s">
        <v>33</v>
      </c>
      <c r="C26" s="30">
        <f>ROUND(IF(ISBLANK(Original!C26),'Base projeção'!C26*'Base projeção'!$A$16,Original!C26),0)</f>
        <v>3</v>
      </c>
      <c r="D26" s="30">
        <f>ROUND(IF(ISBLANK(Original!D26),'Base projeção'!D26*'Base projeção'!$A$16,Original!D26),0)</f>
        <v>1</v>
      </c>
      <c r="E26" s="30">
        <f>ROUND(IF(ISBLANK(Original!E26),'Base projeção'!E26*'Base projeção'!$A$16,Original!E26),0)</f>
        <v>3</v>
      </c>
      <c r="F26" s="30">
        <f>ROUND(IF(ISBLANK(Original!F26),'Base projeção'!F26*'Base projeção'!$A$16,Original!F26),0)</f>
        <v>4</v>
      </c>
      <c r="G26" s="30">
        <f>ROUND(IF(ISBLANK(Original!G26),'Base projeção'!G26*'Base projeção'!$A$16,Original!G26),0)</f>
        <v>0</v>
      </c>
      <c r="H26" s="30">
        <f>ROUND(IF(ISBLANK(Original!H26),'Base projeção'!H26*'Base projeção'!$A$16,Original!H26),0)</f>
        <v>0</v>
      </c>
      <c r="I26" s="30">
        <f>ROUND(IF(ISBLANK(Original!I26),'Base projeção'!I26*'Base projeção'!$A$16,Original!I26),0)</f>
        <v>0</v>
      </c>
      <c r="J26" s="30">
        <f>ROUND(IF(ISBLANK(Original!J26),'Base projeção'!J26*'Base projeção'!$A$16,Original!J26),0)</f>
        <v>0</v>
      </c>
      <c r="K26" s="30">
        <f>ROUND(IF(ISBLANK(Original!K26),'Base projeção'!K26*'Base projeção'!$A$16,Original!K26),0)</f>
        <v>0</v>
      </c>
      <c r="L26" s="30">
        <f>ROUND(IF(ISBLANK(Original!L26),'Base projeção'!L26*'Base projeção'!$A$16,Original!L26),0)</f>
        <v>0</v>
      </c>
      <c r="M26" s="30">
        <f>ROUND(IF(ISBLANK(Original!M26),'Base projeção'!M26*'Base projeção'!$A$16,Original!M26),0)</f>
        <v>0</v>
      </c>
      <c r="N26" s="30">
        <f>ROUND(IF(ISBLANK(Original!N26),'Base projeção'!N26*'Base projeção'!$A$16,Original!N26),0)</f>
        <v>0</v>
      </c>
      <c r="O26" s="30">
        <f>ROUND(IF(ISBLANK(Original!O26),'Base projeção'!O26*'Base projeção'!$A$16,Original!O26),0)</f>
        <v>1</v>
      </c>
      <c r="P26" s="30">
        <f>ROUND(IF(ISBLANK(Original!P26),'Base projeção'!P26*'Base projeção'!$A$16,Original!P26),0)</f>
        <v>0</v>
      </c>
      <c r="Q26" s="10">
        <f t="shared" si="5"/>
        <v>12</v>
      </c>
      <c r="R26" s="11">
        <f t="shared" si="6"/>
        <v>0.01406799531</v>
      </c>
    </row>
    <row r="27" ht="14.25" customHeight="1">
      <c r="A27" s="28"/>
      <c r="B27" s="31" t="s">
        <v>34</v>
      </c>
      <c r="C27" s="30">
        <f>ROUND(IF(ISBLANK(Original!C27),'Base projeção'!C27*'Base projeção'!$A$16,Original!C27),0)</f>
        <v>4</v>
      </c>
      <c r="D27" s="30">
        <f>ROUND(IF(ISBLANK(Original!D27),'Base projeção'!D27*'Base projeção'!$A$16,Original!D27),0)</f>
        <v>2</v>
      </c>
      <c r="E27" s="30">
        <f>ROUND(IF(ISBLANK(Original!E27),'Base projeção'!E27*'Base projeção'!$A$16,Original!E27),0)</f>
        <v>6</v>
      </c>
      <c r="F27" s="30">
        <f>ROUND(IF(ISBLANK(Original!F27),'Base projeção'!F27*'Base projeção'!$A$16,Original!F27),0)</f>
        <v>2</v>
      </c>
      <c r="G27" s="30">
        <f>ROUND(IF(ISBLANK(Original!G27),'Base projeção'!G27*'Base projeção'!$A$16,Original!G27),0)</f>
        <v>0</v>
      </c>
      <c r="H27" s="30">
        <f>ROUND(IF(ISBLANK(Original!H27),'Base projeção'!H27*'Base projeção'!$A$16,Original!H27),0)</f>
        <v>0</v>
      </c>
      <c r="I27" s="30">
        <f>ROUND(IF(ISBLANK(Original!I27),'Base projeção'!I27*'Base projeção'!$A$16,Original!I27),0)</f>
        <v>0</v>
      </c>
      <c r="J27" s="30">
        <f>ROUND(IF(ISBLANK(Original!J27),'Base projeção'!J27*'Base projeção'!$A$16,Original!J27),0)</f>
        <v>0</v>
      </c>
      <c r="K27" s="30">
        <f>ROUND(IF(ISBLANK(Original!K27),'Base projeção'!K27*'Base projeção'!$A$16,Original!K27),0)</f>
        <v>0</v>
      </c>
      <c r="L27" s="30">
        <f>ROUND(IF(ISBLANK(Original!L27),'Base projeção'!L27*'Base projeção'!$A$16,Original!L27),0)</f>
        <v>0</v>
      </c>
      <c r="M27" s="30">
        <f>ROUND(IF(ISBLANK(Original!M27),'Base projeção'!M27*'Base projeção'!$A$16,Original!M27),0)</f>
        <v>0</v>
      </c>
      <c r="N27" s="30">
        <f>ROUND(IF(ISBLANK(Original!N27),'Base projeção'!N27*'Base projeção'!$A$16,Original!N27),0)</f>
        <v>0</v>
      </c>
      <c r="O27" s="30">
        <f>ROUND(IF(ISBLANK(Original!O27),'Base projeção'!O27*'Base projeção'!$A$16,Original!O27),0)</f>
        <v>1</v>
      </c>
      <c r="P27" s="30">
        <f>ROUND(IF(ISBLANK(Original!P27),'Base projeção'!P27*'Base projeção'!$A$16,Original!P27),0)</f>
        <v>0</v>
      </c>
      <c r="Q27" s="10">
        <f t="shared" si="5"/>
        <v>15</v>
      </c>
      <c r="R27" s="11">
        <f t="shared" si="6"/>
        <v>0.01758499414</v>
      </c>
    </row>
    <row r="28" ht="14.25" customHeight="1">
      <c r="A28" s="28"/>
      <c r="B28" s="32" t="s">
        <v>14</v>
      </c>
      <c r="C28" s="30">
        <f>ROUND(IF(ISBLANK(Original!C28),'Base projeção'!C28*'Base projeção'!$A$16,Original!C28),0)</f>
        <v>0</v>
      </c>
      <c r="D28" s="30">
        <f>ROUND(IF(ISBLANK(Original!D28),'Base projeção'!D28*'Base projeção'!$A$16,Original!D28),0)</f>
        <v>0</v>
      </c>
      <c r="E28" s="30">
        <f>ROUND(IF(ISBLANK(Original!E28),'Base projeção'!E28*'Base projeção'!$A$16,Original!E28),0)</f>
        <v>0</v>
      </c>
      <c r="F28" s="30">
        <f>ROUND(IF(ISBLANK(Original!F28),'Base projeção'!F28*'Base projeção'!$A$16,Original!F28),0)</f>
        <v>0</v>
      </c>
      <c r="G28" s="30">
        <f>ROUND(IF(ISBLANK(Original!G28),'Base projeção'!G28*'Base projeção'!$A$16,Original!G28),0)</f>
        <v>0</v>
      </c>
      <c r="H28" s="30">
        <f>ROUND(IF(ISBLANK(Original!H28),'Base projeção'!H28*'Base projeção'!$A$16,Original!H28),0)</f>
        <v>0</v>
      </c>
      <c r="I28" s="30">
        <f>ROUND(IF(ISBLANK(Original!I28),'Base projeção'!I28*'Base projeção'!$A$16,Original!I28),0)</f>
        <v>0</v>
      </c>
      <c r="J28" s="30">
        <f>ROUND(IF(ISBLANK(Original!J28),'Base projeção'!J28*'Base projeção'!$A$16,Original!J28),0)</f>
        <v>0</v>
      </c>
      <c r="K28" s="30">
        <f>ROUND(IF(ISBLANK(Original!K28),'Base projeção'!K28*'Base projeção'!$A$16,Original!K28),0)</f>
        <v>0</v>
      </c>
      <c r="L28" s="30">
        <f>ROUND(IF(ISBLANK(Original!L28),'Base projeção'!L28*'Base projeção'!$A$16,Original!L28),0)</f>
        <v>0</v>
      </c>
      <c r="M28" s="30">
        <f>ROUND(IF(ISBLANK(Original!M28),'Base projeção'!M28*'Base projeção'!$A$16,Original!M28),0)</f>
        <v>0</v>
      </c>
      <c r="N28" s="30">
        <f>ROUND(IF(ISBLANK(Original!N28),'Base projeção'!N28*'Base projeção'!$A$16,Original!N28),0)</f>
        <v>12</v>
      </c>
      <c r="O28" s="30">
        <f>ROUND(IF(ISBLANK(Original!O28),'Base projeção'!O28*'Base projeção'!$A$16,Original!O28),0)</f>
        <v>0</v>
      </c>
      <c r="P28" s="30">
        <f>ROUND(IF(ISBLANK(Original!P28),'Base projeção'!P28*'Base projeção'!$A$16,Original!P28),0)</f>
        <v>0</v>
      </c>
      <c r="Q28" s="10">
        <f t="shared" si="5"/>
        <v>12</v>
      </c>
      <c r="R28" s="11">
        <f t="shared" si="6"/>
        <v>0.01406799531</v>
      </c>
    </row>
    <row r="29" ht="14.25" customHeight="1">
      <c r="A29" s="27"/>
      <c r="B29" s="33" t="s">
        <v>35</v>
      </c>
      <c r="C29" s="34">
        <f>ROUND(IF(ISBLANK(Original!C29),'Base projeção'!C29*'Base projeção'!$A$16,Original!C29),0)</f>
        <v>0</v>
      </c>
      <c r="D29" s="34">
        <f>ROUND(IF(ISBLANK(Original!D29),'Base projeção'!D29*'Base projeção'!$A$16,Original!D29),0)</f>
        <v>0</v>
      </c>
      <c r="E29" s="34">
        <f>ROUND(IF(ISBLANK(Original!E29),'Base projeção'!E29*'Base projeção'!$A$16,Original!E29),0)</f>
        <v>4</v>
      </c>
      <c r="F29" s="34">
        <f>ROUND(IF(ISBLANK(Original!F29),'Base projeção'!F29*'Base projeção'!$A$16,Original!F29),0)</f>
        <v>0</v>
      </c>
      <c r="G29" s="34">
        <f>ROUND(IF(ISBLANK(Original!G29),'Base projeção'!G29*'Base projeção'!$A$16,Original!G29),0)</f>
        <v>0</v>
      </c>
      <c r="H29" s="34">
        <f>ROUND(IF(ISBLANK(Original!H29),'Base projeção'!H29*'Base projeção'!$A$16,Original!H29),0)</f>
        <v>0</v>
      </c>
      <c r="I29" s="34">
        <f>ROUND(IF(ISBLANK(Original!I29),'Base projeção'!I29*'Base projeção'!$A$16,Original!I29),0)</f>
        <v>0</v>
      </c>
      <c r="J29" s="34">
        <f>ROUND(IF(ISBLANK(Original!J29),'Base projeção'!J29*'Base projeção'!$A$16,Original!J29),0)</f>
        <v>0</v>
      </c>
      <c r="K29" s="34">
        <f>ROUND(IF(ISBLANK(Original!K29),'Base projeção'!K29*'Base projeção'!$A$16,Original!K29),0)</f>
        <v>0</v>
      </c>
      <c r="L29" s="34">
        <f>ROUND(IF(ISBLANK(Original!L29),'Base projeção'!L29*'Base projeção'!$A$16,Original!L29),0)</f>
        <v>0</v>
      </c>
      <c r="M29" s="34">
        <f>ROUND(IF(ISBLANK(Original!M29),'Base projeção'!M29*'Base projeção'!$A$16,Original!M29),0)</f>
        <v>0</v>
      </c>
      <c r="N29" s="34">
        <f>ROUND(IF(ISBLANK(Original!N29),'Base projeção'!N29*'Base projeção'!$A$16,Original!N29),0)</f>
        <v>19</v>
      </c>
      <c r="O29" s="34">
        <f>ROUND(IF(ISBLANK(Original!O29),'Base projeção'!O29*'Base projeção'!$A$16,Original!O29),0)</f>
        <v>10</v>
      </c>
      <c r="P29" s="34">
        <f>ROUND(IF(ISBLANK(Original!P29),'Base projeção'!P29*'Base projeção'!$A$16,Original!P29),0)</f>
        <v>0</v>
      </c>
      <c r="Q29" s="10">
        <f t="shared" si="5"/>
        <v>33</v>
      </c>
      <c r="R29" s="11">
        <f t="shared" si="6"/>
        <v>0.0386869871</v>
      </c>
    </row>
    <row r="30" ht="14.25" customHeight="1">
      <c r="A30" s="27"/>
      <c r="B30" s="29" t="s">
        <v>15</v>
      </c>
      <c r="C30" s="30">
        <f>ROUND(IF(ISBLANK(Original!C30),'Base projeção'!C30*'Base projeção'!$A$16,Original!C30),0)</f>
        <v>10</v>
      </c>
      <c r="D30" s="30">
        <f>ROUND(IF(ISBLANK(Original!D30),'Base projeção'!D30*'Base projeção'!$A$16,Original!D30),0)</f>
        <v>9</v>
      </c>
      <c r="E30" s="30">
        <f>ROUND(IF(ISBLANK(Original!E30),'Base projeção'!E30*'Base projeção'!$A$16,Original!E30),0)</f>
        <v>7</v>
      </c>
      <c r="F30" s="30">
        <f>ROUND(IF(ISBLANK(Original!F30),'Base projeção'!F30*'Base projeção'!$A$16,Original!F30),0)</f>
        <v>13</v>
      </c>
      <c r="G30" s="30">
        <f>ROUND(IF(ISBLANK(Original!G30),'Base projeção'!G30*'Base projeção'!$A$16,Original!G30),0)</f>
        <v>0</v>
      </c>
      <c r="H30" s="30">
        <f>ROUND(IF(ISBLANK(Original!H30),'Base projeção'!H30*'Base projeção'!$A$16,Original!H30),0)</f>
        <v>0</v>
      </c>
      <c r="I30" s="30">
        <f>ROUND(IF(ISBLANK(Original!I30),'Base projeção'!I30*'Base projeção'!$A$16,Original!I30),0)</f>
        <v>0</v>
      </c>
      <c r="J30" s="30">
        <f>ROUND(IF(ISBLANK(Original!J30),'Base projeção'!J30*'Base projeção'!$A$16,Original!J30),0)</f>
        <v>0</v>
      </c>
      <c r="K30" s="30">
        <f>ROUND(IF(ISBLANK(Original!K30),'Base projeção'!K30*'Base projeção'!$A$16,Original!K30),0)</f>
        <v>0</v>
      </c>
      <c r="L30" s="30">
        <f>ROUND(IF(ISBLANK(Original!L30),'Base projeção'!L30*'Base projeção'!$A$16,Original!L30),0)</f>
        <v>0</v>
      </c>
      <c r="M30" s="30">
        <f>ROUND(IF(ISBLANK(Original!M30),'Base projeção'!M30*'Base projeção'!$A$16,Original!M30),0)</f>
        <v>0</v>
      </c>
      <c r="N30" s="30">
        <f>ROUND(IF(ISBLANK(Original!N30),'Base projeção'!N30*'Base projeção'!$A$16,Original!N30),0)</f>
        <v>10</v>
      </c>
      <c r="O30" s="30">
        <f>ROUND(IF(ISBLANK(Original!O30),'Base projeção'!O30*'Base projeção'!$A$16,Original!O30),0)</f>
        <v>22</v>
      </c>
      <c r="P30" s="30">
        <f>ROUND(IF(ISBLANK(Original!P30),'Base projeção'!P30*'Base projeção'!$A$16,Original!P30),0)</f>
        <v>0</v>
      </c>
      <c r="Q30" s="9">
        <f t="shared" si="5"/>
        <v>71</v>
      </c>
      <c r="R30" s="11">
        <f t="shared" si="6"/>
        <v>0.08323563892</v>
      </c>
    </row>
    <row r="31" ht="14.25" customHeight="1">
      <c r="A31" s="27"/>
      <c r="B31" s="31" t="s">
        <v>36</v>
      </c>
      <c r="C31" s="34">
        <f>ROUND(IF(ISBLANK(Original!C31),'Base projeção'!C31*'Base projeção'!$A$16,Original!C31),0)</f>
        <v>0</v>
      </c>
      <c r="D31" s="34">
        <f>ROUND(IF(ISBLANK(Original!D31),'Base projeção'!D31*'Base projeção'!$A$16,Original!D31),0)</f>
        <v>0</v>
      </c>
      <c r="E31" s="34">
        <f>ROUND(IF(ISBLANK(Original!E31),'Base projeção'!E31*'Base projeção'!$A$16,Original!E31),0)</f>
        <v>0</v>
      </c>
      <c r="F31" s="34">
        <f>ROUND(IF(ISBLANK(Original!F31),'Base projeção'!F31*'Base projeção'!$A$16,Original!F31),0)</f>
        <v>0</v>
      </c>
      <c r="G31" s="34">
        <f>ROUND(IF(ISBLANK(Original!G31),'Base projeção'!G31*'Base projeção'!$A$16,Original!G31),0)</f>
        <v>0</v>
      </c>
      <c r="H31" s="34">
        <f>ROUND(IF(ISBLANK(Original!H31),'Base projeção'!H31*'Base projeção'!$A$16,Original!H31),0)</f>
        <v>0</v>
      </c>
      <c r="I31" s="34">
        <f>ROUND(IF(ISBLANK(Original!I31),'Base projeção'!I31*'Base projeção'!$A$16,Original!I31),0)</f>
        <v>0</v>
      </c>
      <c r="J31" s="34">
        <f>ROUND(IF(ISBLANK(Original!J31),'Base projeção'!J31*'Base projeção'!$A$16,Original!J31),0)</f>
        <v>0</v>
      </c>
      <c r="K31" s="34">
        <f>ROUND(IF(ISBLANK(Original!K31),'Base projeção'!K31*'Base projeção'!$A$16,Original!K31),0)</f>
        <v>0</v>
      </c>
      <c r="L31" s="34">
        <f>ROUND(IF(ISBLANK(Original!L31),'Base projeção'!L31*'Base projeção'!$A$16,Original!L31),0)</f>
        <v>0</v>
      </c>
      <c r="M31" s="34">
        <f>ROUND(IF(ISBLANK(Original!M31),'Base projeção'!M31*'Base projeção'!$A$16,Original!M31),0)</f>
        <v>0</v>
      </c>
      <c r="N31" s="34">
        <f>ROUND(IF(ISBLANK(Original!N31),'Base projeção'!N31*'Base projeção'!$A$16,Original!N31),0)</f>
        <v>0</v>
      </c>
      <c r="O31" s="34">
        <f>ROUND(IF(ISBLANK(Original!O31),'Base projeção'!O31*'Base projeção'!$A$16,Original!O31),0)</f>
        <v>0</v>
      </c>
      <c r="P31" s="34">
        <f>ROUND(IF(ISBLANK(Original!P31),'Base projeção'!P31*'Base projeção'!$A$16,Original!P31),0)</f>
        <v>0</v>
      </c>
      <c r="Q31" s="10">
        <f t="shared" si="5"/>
        <v>0</v>
      </c>
      <c r="R31" s="11">
        <f t="shared" si="6"/>
        <v>0</v>
      </c>
    </row>
    <row r="32" ht="14.25" customHeight="1">
      <c r="A32" s="28"/>
      <c r="B32" s="35" t="s">
        <v>16</v>
      </c>
      <c r="C32" s="36">
        <f>ROUND(IF(ISBLANK(Original!C32),'Base projeção'!C32*'Base projeção'!$A$16,Original!C32),0)</f>
        <v>43</v>
      </c>
      <c r="D32" s="36">
        <f>ROUND(IF(ISBLANK(Original!D32),'Base projeção'!D32*'Base projeção'!$A$16,Original!D32),0)</f>
        <v>60</v>
      </c>
      <c r="E32" s="36">
        <f>ROUND(IF(ISBLANK(Original!E32),'Base projeção'!E32*'Base projeção'!$A$16,Original!E32),0)</f>
        <v>44</v>
      </c>
      <c r="F32" s="36">
        <f>ROUND(IF(ISBLANK(Original!F32),'Base projeção'!F32*'Base projeção'!$A$16,Original!F32),0)</f>
        <v>18</v>
      </c>
      <c r="G32" s="36">
        <f>ROUND(IF(ISBLANK(Original!G32),'Base projeção'!G32*'Base projeção'!$A$16,Original!G32),0)</f>
        <v>0</v>
      </c>
      <c r="H32" s="36">
        <f>ROUND(IF(ISBLANK(Original!H32),'Base projeção'!H32*'Base projeção'!$A$16,Original!H32),0)</f>
        <v>0</v>
      </c>
      <c r="I32" s="36">
        <f>ROUND(IF(ISBLANK(Original!I32),'Base projeção'!I32*'Base projeção'!$A$16,Original!I32),0)</f>
        <v>0</v>
      </c>
      <c r="J32" s="36">
        <f>ROUND(IF(ISBLANK(Original!J32),'Base projeção'!J32*'Base projeção'!$A$16,Original!J32),0)</f>
        <v>0</v>
      </c>
      <c r="K32" s="36">
        <f>ROUND(IF(ISBLANK(Original!K32),'Base projeção'!K32*'Base projeção'!$A$16,Original!K32),0)</f>
        <v>0</v>
      </c>
      <c r="L32" s="36">
        <f>ROUND(IF(ISBLANK(Original!L32),'Base projeção'!L32*'Base projeção'!$A$16,Original!L32),0)</f>
        <v>0</v>
      </c>
      <c r="M32" s="36">
        <f>ROUND(IF(ISBLANK(Original!M32),'Base projeção'!M32*'Base projeção'!$A$16,Original!M32),0)</f>
        <v>0</v>
      </c>
      <c r="N32" s="36">
        <f>ROUND(IF(ISBLANK(Original!N32),'Base projeção'!N32*'Base projeção'!$A$16,Original!N32),0)</f>
        <v>51</v>
      </c>
      <c r="O32" s="36">
        <f>ROUND(IF(ISBLANK(Original!O32),'Base projeção'!O32*'Base projeção'!$A$16,Original!O32),0)</f>
        <v>33</v>
      </c>
      <c r="P32" s="36">
        <f>ROUND(IF(ISBLANK(Original!P32),'Base projeção'!P32*'Base projeção'!$A$16,Original!P32),0)</f>
        <v>0</v>
      </c>
      <c r="Q32" s="10">
        <f t="shared" si="5"/>
        <v>249</v>
      </c>
      <c r="R32" s="11">
        <f t="shared" si="6"/>
        <v>0.2919109027</v>
      </c>
    </row>
    <row r="33" ht="14.25" customHeight="1">
      <c r="A33" s="28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28"/>
      <c r="R33" s="38"/>
    </row>
    <row r="34" ht="14.25" customHeight="1">
      <c r="A34" s="39"/>
      <c r="B34" s="40"/>
      <c r="C34" s="41"/>
      <c r="D34" s="42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2"/>
      <c r="R34" s="43"/>
    </row>
    <row r="35" ht="14.25" customHeight="1">
      <c r="A35" s="28"/>
      <c r="B35" s="7" t="s">
        <v>37</v>
      </c>
    </row>
    <row r="36" ht="14.25" customHeight="1">
      <c r="A36" s="28"/>
      <c r="B36" s="8" t="s">
        <v>29</v>
      </c>
      <c r="C36" s="9">
        <v>6.0</v>
      </c>
      <c r="D36" s="10">
        <v>7.0</v>
      </c>
      <c r="E36" s="9">
        <v>8.0</v>
      </c>
      <c r="F36" s="9">
        <v>9.0</v>
      </c>
      <c r="G36" s="9">
        <v>10.0</v>
      </c>
      <c r="H36" s="9">
        <v>11.0</v>
      </c>
      <c r="I36" s="9">
        <v>12.0</v>
      </c>
      <c r="J36" s="9">
        <v>13.0</v>
      </c>
      <c r="K36" s="9">
        <v>14.0</v>
      </c>
      <c r="L36" s="9">
        <v>15.0</v>
      </c>
      <c r="M36" s="9">
        <v>16.0</v>
      </c>
      <c r="N36" s="9">
        <v>17.0</v>
      </c>
      <c r="O36" s="9">
        <v>18.0</v>
      </c>
      <c r="P36" s="9">
        <v>19.0</v>
      </c>
      <c r="Q36" s="10" t="s">
        <v>20</v>
      </c>
      <c r="R36" s="11" t="s">
        <v>21</v>
      </c>
    </row>
    <row r="37" ht="14.25" customHeight="1">
      <c r="A37" s="28"/>
      <c r="B37" s="29" t="s">
        <v>38</v>
      </c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10">
        <f t="shared" ref="Q37:Q55" si="7">SUM(C37:P37)</f>
        <v>0</v>
      </c>
      <c r="R37" s="11">
        <f t="shared" ref="R37:R55" si="8">Q37/$Q$15</f>
        <v>0</v>
      </c>
    </row>
    <row r="38" ht="14.25" customHeight="1">
      <c r="A38" s="28"/>
      <c r="B38" s="31" t="s">
        <v>39</v>
      </c>
      <c r="C38" s="45"/>
      <c r="D38" s="46"/>
      <c r="E38" s="47"/>
      <c r="F38" s="47"/>
      <c r="G38" s="47"/>
      <c r="H38" s="48"/>
      <c r="I38" s="48"/>
      <c r="J38" s="48"/>
      <c r="K38" s="48"/>
      <c r="L38" s="47"/>
      <c r="M38" s="48"/>
      <c r="N38" s="47"/>
      <c r="O38" s="48"/>
      <c r="P38" s="48"/>
      <c r="Q38" s="10">
        <f t="shared" si="7"/>
        <v>0</v>
      </c>
      <c r="R38" s="11">
        <f t="shared" si="8"/>
        <v>0</v>
      </c>
    </row>
    <row r="39" ht="14.25" customHeight="1">
      <c r="A39" s="28"/>
      <c r="B39" s="29" t="s">
        <v>40</v>
      </c>
      <c r="C39" s="49"/>
      <c r="D39" s="50"/>
      <c r="E39" s="44"/>
      <c r="F39" s="44"/>
      <c r="G39" s="44"/>
      <c r="H39" s="44"/>
      <c r="I39" s="44"/>
      <c r="J39" s="44"/>
      <c r="K39" s="51"/>
      <c r="L39" s="44"/>
      <c r="M39" s="51"/>
      <c r="N39" s="52"/>
      <c r="O39" s="51"/>
      <c r="P39" s="51"/>
      <c r="Q39" s="10">
        <f t="shared" si="7"/>
        <v>0</v>
      </c>
      <c r="R39" s="11">
        <f t="shared" si="8"/>
        <v>0</v>
      </c>
    </row>
    <row r="40" ht="14.25" customHeight="1">
      <c r="A40" s="28"/>
      <c r="B40" s="31" t="s">
        <v>41</v>
      </c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10">
        <f t="shared" si="7"/>
        <v>0</v>
      </c>
      <c r="R40" s="11">
        <f t="shared" si="8"/>
        <v>0</v>
      </c>
    </row>
    <row r="41" ht="14.25" customHeight="1">
      <c r="A41" s="28"/>
      <c r="B41" s="29" t="s">
        <v>42</v>
      </c>
      <c r="C41" s="30"/>
      <c r="D41" s="51"/>
      <c r="E41" s="51"/>
      <c r="F41" s="30"/>
      <c r="G41" s="51"/>
      <c r="H41" s="51"/>
      <c r="I41" s="44"/>
      <c r="J41" s="51"/>
      <c r="K41" s="51"/>
      <c r="L41" s="44"/>
      <c r="M41" s="44"/>
      <c r="N41" s="44"/>
      <c r="O41" s="51"/>
      <c r="P41" s="51"/>
      <c r="Q41" s="10">
        <f t="shared" si="7"/>
        <v>0</v>
      </c>
      <c r="R41" s="11">
        <f t="shared" si="8"/>
        <v>0</v>
      </c>
    </row>
    <row r="42" ht="14.25" customHeight="1">
      <c r="A42" s="28"/>
      <c r="B42" s="31" t="s">
        <v>43</v>
      </c>
      <c r="C42" s="48"/>
      <c r="D42" s="48"/>
      <c r="E42" s="47"/>
      <c r="F42" s="48"/>
      <c r="G42" s="48"/>
      <c r="H42" s="48"/>
      <c r="I42" s="48"/>
      <c r="J42" s="48"/>
      <c r="K42" s="48"/>
      <c r="L42" s="47"/>
      <c r="M42" s="53"/>
      <c r="N42" s="47"/>
      <c r="O42" s="48"/>
      <c r="P42" s="47"/>
      <c r="Q42" s="10">
        <f t="shared" si="7"/>
        <v>0</v>
      </c>
      <c r="R42" s="11">
        <f t="shared" si="8"/>
        <v>0</v>
      </c>
    </row>
    <row r="43" ht="14.25" customHeight="1">
      <c r="A43" s="28"/>
      <c r="B43" s="29" t="s">
        <v>44</v>
      </c>
      <c r="C43" s="44"/>
      <c r="D43" s="51"/>
      <c r="E43" s="44"/>
      <c r="F43" s="44"/>
      <c r="G43" s="44"/>
      <c r="H43" s="44"/>
      <c r="I43" s="44"/>
      <c r="J43" s="44"/>
      <c r="K43" s="44"/>
      <c r="L43" s="44"/>
      <c r="M43" s="44"/>
      <c r="N43" s="54"/>
      <c r="O43" s="44"/>
      <c r="P43" s="44"/>
      <c r="Q43" s="10">
        <f t="shared" si="7"/>
        <v>0</v>
      </c>
      <c r="R43" s="11">
        <f t="shared" si="8"/>
        <v>0</v>
      </c>
    </row>
    <row r="44" ht="14.25" customHeight="1">
      <c r="A44" s="28"/>
      <c r="B44" s="31" t="s">
        <v>45</v>
      </c>
      <c r="C44" s="48"/>
      <c r="D44" s="47"/>
      <c r="E44" s="48"/>
      <c r="F44" s="47"/>
      <c r="G44" s="48"/>
      <c r="H44" s="47"/>
      <c r="I44" s="47"/>
      <c r="J44" s="47"/>
      <c r="K44" s="48"/>
      <c r="L44" s="47"/>
      <c r="M44" s="55"/>
      <c r="N44" s="47"/>
      <c r="O44" s="48"/>
      <c r="P44" s="48"/>
      <c r="Q44" s="10">
        <f t="shared" si="7"/>
        <v>0</v>
      </c>
      <c r="R44" s="11">
        <f t="shared" si="8"/>
        <v>0</v>
      </c>
    </row>
    <row r="45" ht="14.25" customHeight="1">
      <c r="A45" s="28"/>
      <c r="B45" s="29" t="s">
        <v>46</v>
      </c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54"/>
      <c r="N45" s="44"/>
      <c r="O45" s="44"/>
      <c r="P45" s="44"/>
      <c r="Q45" s="10">
        <f t="shared" si="7"/>
        <v>0</v>
      </c>
      <c r="R45" s="11">
        <f t="shared" si="8"/>
        <v>0</v>
      </c>
    </row>
    <row r="46" ht="14.25" customHeight="1">
      <c r="A46" s="28"/>
      <c r="B46" s="31" t="s">
        <v>47</v>
      </c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53"/>
      <c r="N46" s="48"/>
      <c r="O46" s="48"/>
      <c r="P46" s="48"/>
      <c r="Q46" s="10">
        <f t="shared" si="7"/>
        <v>0</v>
      </c>
      <c r="R46" s="11">
        <f t="shared" si="8"/>
        <v>0</v>
      </c>
    </row>
    <row r="47" ht="14.25" customHeight="1">
      <c r="A47" s="28"/>
      <c r="B47" s="29" t="s">
        <v>48</v>
      </c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54"/>
      <c r="N47" s="44"/>
      <c r="O47" s="44"/>
      <c r="P47" s="44"/>
      <c r="Q47" s="10">
        <f t="shared" si="7"/>
        <v>0</v>
      </c>
      <c r="R47" s="11">
        <f t="shared" si="8"/>
        <v>0</v>
      </c>
    </row>
    <row r="48" ht="14.25" customHeight="1">
      <c r="A48" s="27"/>
      <c r="B48" s="31" t="s">
        <v>49</v>
      </c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53"/>
      <c r="N48" s="48"/>
      <c r="O48" s="48"/>
      <c r="P48" s="48"/>
      <c r="Q48" s="10">
        <f t="shared" si="7"/>
        <v>0</v>
      </c>
      <c r="R48" s="11">
        <f t="shared" si="8"/>
        <v>0</v>
      </c>
    </row>
    <row r="49" ht="14.25" customHeight="1">
      <c r="A49" s="28"/>
      <c r="B49" s="29" t="s">
        <v>50</v>
      </c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54"/>
      <c r="N49" s="44"/>
      <c r="O49" s="44"/>
      <c r="P49" s="44"/>
      <c r="Q49" s="10">
        <f t="shared" si="7"/>
        <v>0</v>
      </c>
      <c r="R49" s="11">
        <f t="shared" si="8"/>
        <v>0</v>
      </c>
    </row>
    <row r="50" ht="14.25" customHeight="1">
      <c r="A50" s="28"/>
      <c r="B50" s="31" t="s">
        <v>51</v>
      </c>
      <c r="C50" s="48"/>
      <c r="D50" s="48"/>
      <c r="E50" s="48"/>
      <c r="F50" s="48"/>
      <c r="G50" s="48"/>
      <c r="H50" s="47"/>
      <c r="I50" s="48"/>
      <c r="J50" s="48"/>
      <c r="K50" s="48"/>
      <c r="L50" s="48"/>
      <c r="M50" s="46"/>
      <c r="N50" s="48"/>
      <c r="O50" s="48"/>
      <c r="P50" s="48"/>
      <c r="Q50" s="10">
        <f t="shared" si="7"/>
        <v>0</v>
      </c>
      <c r="R50" s="11">
        <f t="shared" si="8"/>
        <v>0</v>
      </c>
    </row>
    <row r="51" ht="14.25" customHeight="1">
      <c r="A51" s="27"/>
      <c r="B51" s="29" t="s">
        <v>12</v>
      </c>
      <c r="C51" s="51">
        <f t="shared" ref="C51:P51" si="9">SUM(C23:C25)</f>
        <v>2</v>
      </c>
      <c r="D51" s="51">
        <f t="shared" si="9"/>
        <v>3</v>
      </c>
      <c r="E51" s="51">
        <f t="shared" si="9"/>
        <v>3</v>
      </c>
      <c r="F51" s="51">
        <f t="shared" si="9"/>
        <v>0</v>
      </c>
      <c r="G51" s="51">
        <f t="shared" si="9"/>
        <v>0</v>
      </c>
      <c r="H51" s="51">
        <f t="shared" si="9"/>
        <v>0</v>
      </c>
      <c r="I51" s="51">
        <f t="shared" si="9"/>
        <v>0</v>
      </c>
      <c r="J51" s="51">
        <f t="shared" si="9"/>
        <v>0</v>
      </c>
      <c r="K51" s="51">
        <f t="shared" si="9"/>
        <v>0</v>
      </c>
      <c r="L51" s="51">
        <f t="shared" si="9"/>
        <v>0</v>
      </c>
      <c r="M51" s="51">
        <f t="shared" si="9"/>
        <v>0</v>
      </c>
      <c r="N51" s="51">
        <f t="shared" si="9"/>
        <v>1</v>
      </c>
      <c r="O51" s="51">
        <f t="shared" si="9"/>
        <v>4</v>
      </c>
      <c r="P51" s="51">
        <f t="shared" si="9"/>
        <v>0</v>
      </c>
      <c r="Q51" s="10">
        <f t="shared" si="7"/>
        <v>13</v>
      </c>
      <c r="R51" s="11">
        <f t="shared" si="8"/>
        <v>0.01524032825</v>
      </c>
    </row>
    <row r="52" ht="14.25" customHeight="1">
      <c r="A52" s="27"/>
      <c r="B52" s="31" t="s">
        <v>13</v>
      </c>
      <c r="C52" s="47">
        <f t="shared" ref="C52:P52" si="10">SUM(C26:C27)</f>
        <v>7</v>
      </c>
      <c r="D52" s="47">
        <f t="shared" si="10"/>
        <v>3</v>
      </c>
      <c r="E52" s="47">
        <f t="shared" si="10"/>
        <v>9</v>
      </c>
      <c r="F52" s="47">
        <f t="shared" si="10"/>
        <v>6</v>
      </c>
      <c r="G52" s="47">
        <f t="shared" si="10"/>
        <v>0</v>
      </c>
      <c r="H52" s="47">
        <f t="shared" si="10"/>
        <v>0</v>
      </c>
      <c r="I52" s="47">
        <f t="shared" si="10"/>
        <v>0</v>
      </c>
      <c r="J52" s="47">
        <f t="shared" si="10"/>
        <v>0</v>
      </c>
      <c r="K52" s="47">
        <f t="shared" si="10"/>
        <v>0</v>
      </c>
      <c r="L52" s="47">
        <f t="shared" si="10"/>
        <v>0</v>
      </c>
      <c r="M52" s="47">
        <f t="shared" si="10"/>
        <v>0</v>
      </c>
      <c r="N52" s="47">
        <f t="shared" si="10"/>
        <v>0</v>
      </c>
      <c r="O52" s="47">
        <f t="shared" si="10"/>
        <v>2</v>
      </c>
      <c r="P52" s="47">
        <f t="shared" si="10"/>
        <v>0</v>
      </c>
      <c r="Q52" s="10">
        <f t="shared" si="7"/>
        <v>27</v>
      </c>
      <c r="R52" s="11">
        <f t="shared" si="8"/>
        <v>0.03165298945</v>
      </c>
    </row>
    <row r="53" ht="14.25" customHeight="1">
      <c r="A53" s="27"/>
      <c r="B53" s="29" t="s">
        <v>14</v>
      </c>
      <c r="C53" s="51">
        <f t="shared" ref="C53:P53" si="11">SUM(C28:C29)</f>
        <v>0</v>
      </c>
      <c r="D53" s="51">
        <f t="shared" si="11"/>
        <v>0</v>
      </c>
      <c r="E53" s="51">
        <f t="shared" si="11"/>
        <v>4</v>
      </c>
      <c r="F53" s="51">
        <f t="shared" si="11"/>
        <v>0</v>
      </c>
      <c r="G53" s="51">
        <f t="shared" si="11"/>
        <v>0</v>
      </c>
      <c r="H53" s="51">
        <f t="shared" si="11"/>
        <v>0</v>
      </c>
      <c r="I53" s="51">
        <f t="shared" si="11"/>
        <v>0</v>
      </c>
      <c r="J53" s="51">
        <f t="shared" si="11"/>
        <v>0</v>
      </c>
      <c r="K53" s="51">
        <f t="shared" si="11"/>
        <v>0</v>
      </c>
      <c r="L53" s="51">
        <f t="shared" si="11"/>
        <v>0</v>
      </c>
      <c r="M53" s="51">
        <f t="shared" si="11"/>
        <v>0</v>
      </c>
      <c r="N53" s="51">
        <f t="shared" si="11"/>
        <v>31</v>
      </c>
      <c r="O53" s="51">
        <f t="shared" si="11"/>
        <v>10</v>
      </c>
      <c r="P53" s="51">
        <f t="shared" si="11"/>
        <v>0</v>
      </c>
      <c r="Q53" s="10">
        <f t="shared" si="7"/>
        <v>45</v>
      </c>
      <c r="R53" s="11">
        <f t="shared" si="8"/>
        <v>0.05275498242</v>
      </c>
    </row>
    <row r="54" ht="14.25" customHeight="1">
      <c r="A54" s="27"/>
      <c r="B54" s="31" t="s">
        <v>15</v>
      </c>
      <c r="C54" s="47">
        <f t="shared" ref="C54:P54" si="12">SUM(C30:C31)</f>
        <v>10</v>
      </c>
      <c r="D54" s="47">
        <f t="shared" si="12"/>
        <v>9</v>
      </c>
      <c r="E54" s="47">
        <f t="shared" si="12"/>
        <v>7</v>
      </c>
      <c r="F54" s="47">
        <f t="shared" si="12"/>
        <v>13</v>
      </c>
      <c r="G54" s="47">
        <f t="shared" si="12"/>
        <v>0</v>
      </c>
      <c r="H54" s="47">
        <f t="shared" si="12"/>
        <v>0</v>
      </c>
      <c r="I54" s="47">
        <f t="shared" si="12"/>
        <v>0</v>
      </c>
      <c r="J54" s="47">
        <f t="shared" si="12"/>
        <v>0</v>
      </c>
      <c r="K54" s="47">
        <f t="shared" si="12"/>
        <v>0</v>
      </c>
      <c r="L54" s="47">
        <f t="shared" si="12"/>
        <v>0</v>
      </c>
      <c r="M54" s="47">
        <f t="shared" si="12"/>
        <v>0</v>
      </c>
      <c r="N54" s="47">
        <f t="shared" si="12"/>
        <v>10</v>
      </c>
      <c r="O54" s="47">
        <f t="shared" si="12"/>
        <v>22</v>
      </c>
      <c r="P54" s="47">
        <f t="shared" si="12"/>
        <v>0</v>
      </c>
      <c r="Q54" s="10">
        <f t="shared" si="7"/>
        <v>71</v>
      </c>
      <c r="R54" s="11">
        <f t="shared" si="8"/>
        <v>0.08323563892</v>
      </c>
    </row>
    <row r="55" ht="14.25" customHeight="1">
      <c r="A55" s="27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9">
        <f t="shared" si="7"/>
        <v>0</v>
      </c>
      <c r="R55" s="11">
        <f t="shared" si="8"/>
        <v>0</v>
      </c>
    </row>
    <row r="56" ht="14.25" customHeight="1">
      <c r="A56" s="2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27"/>
      <c r="R56" s="20"/>
    </row>
  </sheetData>
  <mergeCells count="3">
    <mergeCell ref="A1:R1"/>
    <mergeCell ref="B18:R18"/>
    <mergeCell ref="B35:R35"/>
  </mergeCell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14.25"/>
    <col customWidth="1" min="2" max="2" width="17.25"/>
    <col customWidth="1" min="3" max="16" width="7.0"/>
    <col customWidth="1" min="17" max="17" width="8.75"/>
    <col customWidth="1" min="18" max="18" width="8.5"/>
  </cols>
  <sheetData>
    <row r="1" ht="12.0" customHeight="1">
      <c r="A1" s="7" t="s">
        <v>17</v>
      </c>
    </row>
    <row r="2" ht="12.0" customHeight="1">
      <c r="A2" s="8" t="s">
        <v>18</v>
      </c>
      <c r="B2" s="8" t="s">
        <v>19</v>
      </c>
      <c r="C2" s="9">
        <v>6.0</v>
      </c>
      <c r="D2" s="9">
        <v>7.0</v>
      </c>
      <c r="E2" s="9">
        <v>8.0</v>
      </c>
      <c r="F2" s="9">
        <v>9.0</v>
      </c>
      <c r="G2" s="9">
        <v>10.0</v>
      </c>
      <c r="H2" s="9">
        <v>11.0</v>
      </c>
      <c r="I2" s="9">
        <v>12.0</v>
      </c>
      <c r="J2" s="9">
        <v>13.0</v>
      </c>
      <c r="K2" s="9">
        <v>14.0</v>
      </c>
      <c r="L2" s="9">
        <v>15.0</v>
      </c>
      <c r="M2" s="9">
        <v>16.0</v>
      </c>
      <c r="N2" s="9">
        <v>17.0</v>
      </c>
      <c r="O2" s="9">
        <v>18.0</v>
      </c>
      <c r="P2" s="9">
        <v>19.0</v>
      </c>
      <c r="Q2" s="10" t="s">
        <v>20</v>
      </c>
      <c r="R2" s="11" t="s">
        <v>21</v>
      </c>
    </row>
    <row r="3" ht="14.25" customHeight="1">
      <c r="A3" s="12" t="s">
        <v>22</v>
      </c>
      <c r="B3" s="12" t="s">
        <v>23</v>
      </c>
      <c r="C3" s="56">
        <v>1.0</v>
      </c>
      <c r="D3" s="56">
        <v>1.0</v>
      </c>
      <c r="E3" s="56">
        <v>1.0</v>
      </c>
      <c r="F3" s="56">
        <v>4.0</v>
      </c>
      <c r="G3" s="44"/>
      <c r="H3" s="44"/>
      <c r="I3" s="44"/>
      <c r="J3" s="44"/>
      <c r="K3" s="44"/>
      <c r="L3" s="44"/>
      <c r="M3" s="44"/>
      <c r="N3" s="30">
        <v>7.0</v>
      </c>
      <c r="O3" s="30">
        <v>4.0</v>
      </c>
      <c r="P3" s="44"/>
      <c r="Q3" s="10">
        <f t="shared" ref="Q3:Q14" si="1">SUM(C3:P3)</f>
        <v>18</v>
      </c>
      <c r="R3" s="11">
        <f t="shared" ref="R3:R14" si="2">Q3/$Q$15</f>
        <v>0.03501945525</v>
      </c>
    </row>
    <row r="4" ht="14.25" customHeight="1">
      <c r="A4" s="14" t="s">
        <v>22</v>
      </c>
      <c r="B4" s="14" t="s">
        <v>24</v>
      </c>
      <c r="C4" s="13"/>
      <c r="D4" s="13"/>
      <c r="E4" s="13"/>
      <c r="F4" s="13"/>
      <c r="G4" s="48"/>
      <c r="H4" s="48"/>
      <c r="I4" s="48"/>
      <c r="J4" s="48"/>
      <c r="K4" s="48"/>
      <c r="L4" s="48"/>
      <c r="M4" s="48"/>
      <c r="N4" s="47"/>
      <c r="O4" s="47"/>
      <c r="P4" s="48"/>
      <c r="Q4" s="10">
        <f t="shared" si="1"/>
        <v>0</v>
      </c>
      <c r="R4" s="11">
        <f t="shared" si="2"/>
        <v>0</v>
      </c>
    </row>
    <row r="5" ht="14.25" customHeight="1">
      <c r="A5" s="12" t="s">
        <v>22</v>
      </c>
      <c r="B5" s="12" t="s">
        <v>25</v>
      </c>
      <c r="C5" s="56">
        <v>8.0</v>
      </c>
      <c r="D5" s="56">
        <v>14.0</v>
      </c>
      <c r="E5" s="56">
        <v>11.0</v>
      </c>
      <c r="F5" s="56">
        <v>7.0</v>
      </c>
      <c r="G5" s="44"/>
      <c r="H5" s="44"/>
      <c r="I5" s="44"/>
      <c r="J5" s="44"/>
      <c r="K5" s="44"/>
      <c r="L5" s="44"/>
      <c r="M5" s="44"/>
      <c r="N5" s="30">
        <v>19.0</v>
      </c>
      <c r="O5" s="30">
        <v>10.0</v>
      </c>
      <c r="P5" s="44"/>
      <c r="Q5" s="10">
        <f t="shared" si="1"/>
        <v>69</v>
      </c>
      <c r="R5" s="11">
        <f t="shared" si="2"/>
        <v>0.1342412451</v>
      </c>
    </row>
    <row r="6" ht="14.25" customHeight="1">
      <c r="A6" s="14" t="s">
        <v>25</v>
      </c>
      <c r="B6" s="14" t="s">
        <v>22</v>
      </c>
      <c r="C6" s="57">
        <v>1.0</v>
      </c>
      <c r="D6" s="57">
        <v>3.0</v>
      </c>
      <c r="E6" s="57">
        <v>4.0</v>
      </c>
      <c r="F6" s="13">
        <v>1.0</v>
      </c>
      <c r="G6" s="48"/>
      <c r="H6" s="48"/>
      <c r="I6" s="48"/>
      <c r="J6" s="48"/>
      <c r="K6" s="48"/>
      <c r="L6" s="48"/>
      <c r="M6" s="48"/>
      <c r="N6" s="45">
        <v>8.0</v>
      </c>
      <c r="O6" s="45">
        <v>7.0</v>
      </c>
      <c r="P6" s="48"/>
      <c r="Q6" s="10">
        <f t="shared" si="1"/>
        <v>24</v>
      </c>
      <c r="R6" s="11">
        <f t="shared" si="2"/>
        <v>0.046692607</v>
      </c>
    </row>
    <row r="7" ht="14.25" customHeight="1">
      <c r="A7" s="12" t="s">
        <v>25</v>
      </c>
      <c r="B7" s="12" t="s">
        <v>23</v>
      </c>
      <c r="C7" s="56">
        <v>10.0</v>
      </c>
      <c r="D7" s="56">
        <v>7.0</v>
      </c>
      <c r="E7" s="56">
        <v>6.0</v>
      </c>
      <c r="F7" s="56">
        <v>9.0</v>
      </c>
      <c r="G7" s="44"/>
      <c r="H7" s="44"/>
      <c r="I7" s="44"/>
      <c r="J7" s="44"/>
      <c r="K7" s="44"/>
      <c r="L7" s="44"/>
      <c r="M7" s="44"/>
      <c r="N7" s="30">
        <v>34.0</v>
      </c>
      <c r="O7" s="30">
        <v>27.0</v>
      </c>
      <c r="P7" s="44"/>
      <c r="Q7" s="10">
        <f t="shared" si="1"/>
        <v>93</v>
      </c>
      <c r="R7" s="11">
        <f t="shared" si="2"/>
        <v>0.1809338521</v>
      </c>
    </row>
    <row r="8" ht="14.25" customHeight="1">
      <c r="A8" s="14" t="s">
        <v>25</v>
      </c>
      <c r="B8" s="14" t="s">
        <v>24</v>
      </c>
      <c r="C8" s="13"/>
      <c r="D8" s="13"/>
      <c r="E8" s="13"/>
      <c r="F8" s="13"/>
      <c r="G8" s="48"/>
      <c r="H8" s="48"/>
      <c r="I8" s="48"/>
      <c r="J8" s="48"/>
      <c r="K8" s="48"/>
      <c r="L8" s="48"/>
      <c r="M8" s="48"/>
      <c r="N8" s="47"/>
      <c r="O8" s="47"/>
      <c r="P8" s="48"/>
      <c r="Q8" s="10">
        <f t="shared" si="1"/>
        <v>0</v>
      </c>
      <c r="R8" s="11">
        <f t="shared" si="2"/>
        <v>0</v>
      </c>
    </row>
    <row r="9" ht="14.25" customHeight="1">
      <c r="A9" s="12" t="s">
        <v>24</v>
      </c>
      <c r="B9" s="12" t="s">
        <v>25</v>
      </c>
      <c r="C9" s="58"/>
      <c r="D9" s="58"/>
      <c r="E9" s="58"/>
      <c r="F9" s="58"/>
      <c r="G9" s="44"/>
      <c r="H9" s="44"/>
      <c r="I9" s="44"/>
      <c r="J9" s="44"/>
      <c r="K9" s="44"/>
      <c r="L9" s="44"/>
      <c r="M9" s="44"/>
      <c r="N9" s="51"/>
      <c r="O9" s="51"/>
      <c r="P9" s="44"/>
      <c r="Q9" s="10">
        <f t="shared" si="1"/>
        <v>0</v>
      </c>
      <c r="R9" s="11">
        <f t="shared" si="2"/>
        <v>0</v>
      </c>
    </row>
    <row r="10" ht="14.25" customHeight="1">
      <c r="A10" s="14" t="s">
        <v>26</v>
      </c>
      <c r="B10" s="14" t="s">
        <v>22</v>
      </c>
      <c r="C10" s="13"/>
      <c r="D10" s="13"/>
      <c r="E10" s="13"/>
      <c r="F10" s="13"/>
      <c r="G10" s="48"/>
      <c r="H10" s="48"/>
      <c r="I10" s="48"/>
      <c r="J10" s="48"/>
      <c r="K10" s="48"/>
      <c r="L10" s="48"/>
      <c r="M10" s="48"/>
      <c r="N10" s="47"/>
      <c r="O10" s="47"/>
      <c r="P10" s="48"/>
      <c r="Q10" s="10">
        <f t="shared" si="1"/>
        <v>0</v>
      </c>
      <c r="R10" s="11">
        <f t="shared" si="2"/>
        <v>0</v>
      </c>
    </row>
    <row r="11" ht="14.25" customHeight="1">
      <c r="A11" s="12" t="s">
        <v>24</v>
      </c>
      <c r="B11" s="12" t="s">
        <v>23</v>
      </c>
      <c r="C11" s="58"/>
      <c r="D11" s="58"/>
      <c r="E11" s="58"/>
      <c r="F11" s="58"/>
      <c r="G11" s="44"/>
      <c r="H11" s="44"/>
      <c r="I11" s="44"/>
      <c r="J11" s="44"/>
      <c r="K11" s="44"/>
      <c r="L11" s="44"/>
      <c r="M11" s="44"/>
      <c r="N11" s="51"/>
      <c r="O11" s="51"/>
      <c r="P11" s="44"/>
      <c r="Q11" s="10">
        <f t="shared" si="1"/>
        <v>0</v>
      </c>
      <c r="R11" s="11">
        <f t="shared" si="2"/>
        <v>0</v>
      </c>
    </row>
    <row r="12" ht="14.25" customHeight="1">
      <c r="A12" s="15" t="s">
        <v>23</v>
      </c>
      <c r="B12" s="16" t="s">
        <v>24</v>
      </c>
      <c r="C12" s="59"/>
      <c r="D12" s="59"/>
      <c r="E12" s="59"/>
      <c r="F12" s="59"/>
      <c r="G12" s="53"/>
      <c r="H12" s="53"/>
      <c r="I12" s="53"/>
      <c r="J12" s="53"/>
      <c r="K12" s="53"/>
      <c r="L12" s="53"/>
      <c r="M12" s="53"/>
      <c r="N12" s="46"/>
      <c r="O12" s="46"/>
      <c r="P12" s="48"/>
      <c r="Q12" s="10">
        <f t="shared" si="1"/>
        <v>0</v>
      </c>
      <c r="R12" s="11">
        <f t="shared" si="2"/>
        <v>0</v>
      </c>
    </row>
    <row r="13" ht="14.25" customHeight="1">
      <c r="A13" s="17" t="s">
        <v>23</v>
      </c>
      <c r="B13" s="17" t="s">
        <v>25</v>
      </c>
      <c r="C13" s="56">
        <v>73.0</v>
      </c>
      <c r="D13" s="56">
        <v>70.0</v>
      </c>
      <c r="E13" s="56">
        <v>43.0</v>
      </c>
      <c r="F13" s="56">
        <v>20.0</v>
      </c>
      <c r="G13" s="54"/>
      <c r="H13" s="54"/>
      <c r="I13" s="54"/>
      <c r="J13" s="54"/>
      <c r="K13" s="54"/>
      <c r="L13" s="54"/>
      <c r="M13" s="54"/>
      <c r="N13" s="30">
        <v>44.0</v>
      </c>
      <c r="O13" s="30">
        <v>34.0</v>
      </c>
      <c r="P13" s="44"/>
      <c r="Q13" s="10">
        <f t="shared" si="1"/>
        <v>284</v>
      </c>
      <c r="R13" s="11">
        <f t="shared" si="2"/>
        <v>0.5525291829</v>
      </c>
    </row>
    <row r="14" ht="14.25" customHeight="1">
      <c r="A14" s="16" t="s">
        <v>23</v>
      </c>
      <c r="B14" s="16" t="s">
        <v>22</v>
      </c>
      <c r="C14" s="57">
        <v>3.0</v>
      </c>
      <c r="D14" s="57">
        <v>5.0</v>
      </c>
      <c r="E14" s="57">
        <v>4.0</v>
      </c>
      <c r="F14" s="59">
        <v>2.0</v>
      </c>
      <c r="G14" s="53"/>
      <c r="H14" s="53"/>
      <c r="I14" s="53"/>
      <c r="J14" s="53"/>
      <c r="K14" s="53"/>
      <c r="L14" s="53"/>
      <c r="M14" s="53"/>
      <c r="N14" s="45">
        <v>11.0</v>
      </c>
      <c r="O14" s="45">
        <v>1.0</v>
      </c>
      <c r="P14" s="48"/>
      <c r="Q14" s="10">
        <f t="shared" si="1"/>
        <v>26</v>
      </c>
      <c r="R14" s="11">
        <f t="shared" si="2"/>
        <v>0.05058365759</v>
      </c>
    </row>
    <row r="15" ht="14.25" customHeight="1">
      <c r="A15" s="18"/>
      <c r="B15" s="19" t="s">
        <v>20</v>
      </c>
      <c r="C15" s="10">
        <f t="shared" ref="C15:P15" si="3">SUM(C3:C14)</f>
        <v>96</v>
      </c>
      <c r="D15" s="10">
        <f t="shared" si="3"/>
        <v>100</v>
      </c>
      <c r="E15" s="10">
        <f t="shared" si="3"/>
        <v>69</v>
      </c>
      <c r="F15" s="10">
        <f t="shared" si="3"/>
        <v>43</v>
      </c>
      <c r="G15" s="10">
        <f t="shared" si="3"/>
        <v>0</v>
      </c>
      <c r="H15" s="10">
        <f t="shared" si="3"/>
        <v>0</v>
      </c>
      <c r="I15" s="10">
        <f t="shared" si="3"/>
        <v>0</v>
      </c>
      <c r="J15" s="10">
        <f t="shared" si="3"/>
        <v>0</v>
      </c>
      <c r="K15" s="10">
        <f t="shared" si="3"/>
        <v>0</v>
      </c>
      <c r="L15" s="10">
        <f t="shared" si="3"/>
        <v>0</v>
      </c>
      <c r="M15" s="10">
        <f t="shared" si="3"/>
        <v>0</v>
      </c>
      <c r="N15" s="10">
        <f t="shared" si="3"/>
        <v>123</v>
      </c>
      <c r="O15" s="10">
        <f t="shared" si="3"/>
        <v>83</v>
      </c>
      <c r="P15" s="10">
        <f t="shared" si="3"/>
        <v>0</v>
      </c>
      <c r="Q15" s="10">
        <f>SUM(Q$3:Q$14)</f>
        <v>514</v>
      </c>
      <c r="R15" s="20"/>
    </row>
    <row r="16" ht="13.5" customHeight="1">
      <c r="A16" s="21"/>
      <c r="B16" s="22" t="s">
        <v>27</v>
      </c>
      <c r="C16" s="23">
        <f t="shared" ref="C16:P16" si="4">C15/$Q$15</f>
        <v>0.186770428</v>
      </c>
      <c r="D16" s="23">
        <f t="shared" si="4"/>
        <v>0.1945525292</v>
      </c>
      <c r="E16" s="23">
        <f t="shared" si="4"/>
        <v>0.1342412451</v>
      </c>
      <c r="F16" s="23">
        <f t="shared" si="4"/>
        <v>0.08365758755</v>
      </c>
      <c r="G16" s="23">
        <f t="shared" si="4"/>
        <v>0</v>
      </c>
      <c r="H16" s="23">
        <f t="shared" si="4"/>
        <v>0</v>
      </c>
      <c r="I16" s="23">
        <f t="shared" si="4"/>
        <v>0</v>
      </c>
      <c r="J16" s="23">
        <f t="shared" si="4"/>
        <v>0</v>
      </c>
      <c r="K16" s="23">
        <f t="shared" si="4"/>
        <v>0</v>
      </c>
      <c r="L16" s="23">
        <f t="shared" si="4"/>
        <v>0</v>
      </c>
      <c r="M16" s="23">
        <f t="shared" si="4"/>
        <v>0</v>
      </c>
      <c r="N16" s="23">
        <f t="shared" si="4"/>
        <v>0.2392996109</v>
      </c>
      <c r="O16" s="23">
        <f t="shared" si="4"/>
        <v>0.1614785992</v>
      </c>
      <c r="P16" s="23">
        <f t="shared" si="4"/>
        <v>0</v>
      </c>
      <c r="Q16" s="23">
        <f>SUM(C16:P16)</f>
        <v>1</v>
      </c>
      <c r="R16" s="20"/>
    </row>
    <row r="17" ht="13.5" customHeight="1">
      <c r="A17" s="24"/>
      <c r="B17" s="24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6"/>
    </row>
    <row r="18" ht="12.0" customHeight="1">
      <c r="A18" s="27"/>
      <c r="B18" s="7" t="s">
        <v>28</v>
      </c>
    </row>
    <row r="19" ht="12.0" customHeight="1">
      <c r="A19" s="27"/>
      <c r="B19" s="8" t="s">
        <v>29</v>
      </c>
      <c r="C19" s="9">
        <v>6.0</v>
      </c>
      <c r="D19" s="9">
        <v>7.0</v>
      </c>
      <c r="E19" s="9">
        <v>8.0</v>
      </c>
      <c r="F19" s="9">
        <v>9.0</v>
      </c>
      <c r="G19" s="9">
        <v>10.0</v>
      </c>
      <c r="H19" s="9">
        <v>11.0</v>
      </c>
      <c r="I19" s="9">
        <v>12.0</v>
      </c>
      <c r="J19" s="9">
        <v>13.0</v>
      </c>
      <c r="K19" s="9">
        <v>14.0</v>
      </c>
      <c r="L19" s="9">
        <v>15.0</v>
      </c>
      <c r="M19" s="9">
        <v>16.0</v>
      </c>
      <c r="N19" s="9">
        <v>17.0</v>
      </c>
      <c r="O19" s="9">
        <v>18.0</v>
      </c>
      <c r="P19" s="9">
        <v>19.0</v>
      </c>
      <c r="Q19" s="10" t="s">
        <v>20</v>
      </c>
      <c r="R19" s="11" t="s">
        <v>21</v>
      </c>
    </row>
    <row r="20" ht="14.25" customHeight="1">
      <c r="A20" s="28"/>
      <c r="B20" s="29" t="s">
        <v>9</v>
      </c>
      <c r="C20" s="30">
        <v>5.0</v>
      </c>
      <c r="D20" s="30">
        <v>12.0</v>
      </c>
      <c r="E20" s="30">
        <v>8.0</v>
      </c>
      <c r="F20" s="30">
        <v>8.0</v>
      </c>
      <c r="G20" s="51"/>
      <c r="H20" s="51"/>
      <c r="I20" s="51"/>
      <c r="J20" s="51"/>
      <c r="K20" s="51"/>
      <c r="L20" s="51"/>
      <c r="M20" s="51"/>
      <c r="N20" s="30">
        <v>5.0</v>
      </c>
      <c r="O20" s="30">
        <v>10.0</v>
      </c>
      <c r="P20" s="51"/>
      <c r="Q20" s="10">
        <f t="shared" ref="Q20:Q32" si="5">SUM(C20:P20)</f>
        <v>48</v>
      </c>
      <c r="R20" s="11">
        <f t="shared" ref="R20:R32" si="6">Q20/$Q$15</f>
        <v>0.09338521401</v>
      </c>
    </row>
    <row r="21" ht="14.25" customHeight="1">
      <c r="A21" s="28"/>
      <c r="B21" s="31" t="s">
        <v>10</v>
      </c>
      <c r="C21" s="45">
        <v>5.0</v>
      </c>
      <c r="D21" s="45">
        <v>0.0</v>
      </c>
      <c r="E21" s="45">
        <v>0.0</v>
      </c>
      <c r="F21" s="45">
        <v>0.0</v>
      </c>
      <c r="G21" s="47"/>
      <c r="H21" s="47"/>
      <c r="I21" s="47"/>
      <c r="J21" s="47"/>
      <c r="K21" s="47"/>
      <c r="L21" s="47"/>
      <c r="M21" s="47"/>
      <c r="N21" s="45">
        <v>0.0</v>
      </c>
      <c r="O21" s="45">
        <v>0.0</v>
      </c>
      <c r="P21" s="47"/>
      <c r="Q21" s="10">
        <f t="shared" si="5"/>
        <v>5</v>
      </c>
      <c r="R21" s="11">
        <f t="shared" si="6"/>
        <v>0.009727626459</v>
      </c>
    </row>
    <row r="22" ht="14.25" customHeight="1">
      <c r="A22" s="28"/>
      <c r="B22" s="29" t="s">
        <v>11</v>
      </c>
      <c r="C22" s="30">
        <v>11.0</v>
      </c>
      <c r="D22" s="30">
        <v>15.0</v>
      </c>
      <c r="E22" s="30">
        <v>13.0</v>
      </c>
      <c r="F22" s="30">
        <v>9.0</v>
      </c>
      <c r="G22" s="51"/>
      <c r="H22" s="51"/>
      <c r="I22" s="51"/>
      <c r="J22" s="51"/>
      <c r="K22" s="51"/>
      <c r="L22" s="51"/>
      <c r="M22" s="51"/>
      <c r="N22" s="30">
        <v>4.0</v>
      </c>
      <c r="O22" s="30">
        <v>3.0</v>
      </c>
      <c r="P22" s="51"/>
      <c r="Q22" s="10">
        <f t="shared" si="5"/>
        <v>55</v>
      </c>
      <c r="R22" s="11">
        <f t="shared" si="6"/>
        <v>0.1070038911</v>
      </c>
    </row>
    <row r="23" ht="14.25" customHeight="1">
      <c r="A23" s="28"/>
      <c r="B23" s="31" t="s">
        <v>30</v>
      </c>
      <c r="C23" s="45">
        <v>1.0</v>
      </c>
      <c r="D23" s="60">
        <v>2.0</v>
      </c>
      <c r="E23" s="45">
        <v>2.0</v>
      </c>
      <c r="F23" s="45">
        <v>0.0</v>
      </c>
      <c r="G23" s="47"/>
      <c r="H23" s="47"/>
      <c r="I23" s="47"/>
      <c r="J23" s="47"/>
      <c r="K23" s="47"/>
      <c r="L23" s="47"/>
      <c r="M23" s="47"/>
      <c r="N23" s="45">
        <v>0.0</v>
      </c>
      <c r="O23" s="45">
        <v>4.0</v>
      </c>
      <c r="P23" s="47"/>
      <c r="Q23" s="10">
        <f t="shared" si="5"/>
        <v>9</v>
      </c>
      <c r="R23" s="11">
        <f t="shared" si="6"/>
        <v>0.01750972763</v>
      </c>
    </row>
    <row r="24" ht="14.25" customHeight="1">
      <c r="A24" s="28"/>
      <c r="B24" s="29" t="s">
        <v>31</v>
      </c>
      <c r="C24" s="30">
        <v>1.0</v>
      </c>
      <c r="D24" s="30">
        <v>1.0</v>
      </c>
      <c r="E24" s="30">
        <v>1.0</v>
      </c>
      <c r="F24" s="30">
        <v>0.0</v>
      </c>
      <c r="G24" s="51"/>
      <c r="H24" s="51"/>
      <c r="I24" s="51"/>
      <c r="J24" s="51"/>
      <c r="K24" s="51"/>
      <c r="L24" s="51"/>
      <c r="M24" s="51"/>
      <c r="N24" s="30">
        <v>1.0</v>
      </c>
      <c r="O24" s="30">
        <v>0.0</v>
      </c>
      <c r="P24" s="51"/>
      <c r="Q24" s="10">
        <f t="shared" si="5"/>
        <v>4</v>
      </c>
      <c r="R24" s="11">
        <f t="shared" si="6"/>
        <v>0.007782101167</v>
      </c>
    </row>
    <row r="25" ht="14.25" customHeight="1">
      <c r="A25" s="28"/>
      <c r="B25" s="31" t="s">
        <v>32</v>
      </c>
      <c r="C25" s="45">
        <v>0.0</v>
      </c>
      <c r="D25" s="60">
        <v>0.0</v>
      </c>
      <c r="E25" s="45">
        <v>0.0</v>
      </c>
      <c r="F25" s="45">
        <v>0.0</v>
      </c>
      <c r="G25" s="47"/>
      <c r="H25" s="47"/>
      <c r="I25" s="47"/>
      <c r="J25" s="47"/>
      <c r="K25" s="47"/>
      <c r="L25" s="47"/>
      <c r="M25" s="47"/>
      <c r="N25" s="45">
        <v>0.0</v>
      </c>
      <c r="O25" s="45">
        <v>0.0</v>
      </c>
      <c r="P25" s="47"/>
      <c r="Q25" s="10">
        <f t="shared" si="5"/>
        <v>0</v>
      </c>
      <c r="R25" s="11">
        <f t="shared" si="6"/>
        <v>0</v>
      </c>
    </row>
    <row r="26" ht="14.25" customHeight="1">
      <c r="A26" s="28"/>
      <c r="B26" s="29" t="s">
        <v>33</v>
      </c>
      <c r="C26" s="30">
        <v>3.0</v>
      </c>
      <c r="D26" s="30">
        <v>1.0</v>
      </c>
      <c r="E26" s="30">
        <v>3.0</v>
      </c>
      <c r="F26" s="30">
        <v>4.0</v>
      </c>
      <c r="G26" s="51"/>
      <c r="H26" s="51"/>
      <c r="I26" s="51"/>
      <c r="J26" s="51"/>
      <c r="K26" s="51"/>
      <c r="L26" s="51"/>
      <c r="M26" s="51"/>
      <c r="N26" s="30">
        <v>0.0</v>
      </c>
      <c r="O26" s="30">
        <v>1.0</v>
      </c>
      <c r="P26" s="51"/>
      <c r="Q26" s="10">
        <f t="shared" si="5"/>
        <v>12</v>
      </c>
      <c r="R26" s="11">
        <f t="shared" si="6"/>
        <v>0.0233463035</v>
      </c>
    </row>
    <row r="27" ht="14.25" customHeight="1">
      <c r="A27" s="28"/>
      <c r="B27" s="31" t="s">
        <v>34</v>
      </c>
      <c r="C27" s="45">
        <v>4.0</v>
      </c>
      <c r="D27" s="61">
        <v>2.0</v>
      </c>
      <c r="E27" s="45">
        <v>6.0</v>
      </c>
      <c r="F27" s="45">
        <v>2.0</v>
      </c>
      <c r="G27" s="47"/>
      <c r="H27" s="47"/>
      <c r="I27" s="47"/>
      <c r="J27" s="47"/>
      <c r="K27" s="47"/>
      <c r="L27" s="47"/>
      <c r="M27" s="47"/>
      <c r="N27" s="45">
        <v>0.0</v>
      </c>
      <c r="O27" s="45">
        <v>1.0</v>
      </c>
      <c r="P27" s="47"/>
      <c r="Q27" s="10">
        <f t="shared" si="5"/>
        <v>15</v>
      </c>
      <c r="R27" s="11">
        <f t="shared" si="6"/>
        <v>0.02918287938</v>
      </c>
    </row>
    <row r="28" ht="14.25" customHeight="1">
      <c r="A28" s="28"/>
      <c r="B28" s="32" t="s">
        <v>14</v>
      </c>
      <c r="C28" s="30">
        <v>0.0</v>
      </c>
      <c r="D28" s="30">
        <v>0.0</v>
      </c>
      <c r="E28" s="30">
        <v>0.0</v>
      </c>
      <c r="F28" s="30">
        <v>0.0</v>
      </c>
      <c r="G28" s="50"/>
      <c r="H28" s="50"/>
      <c r="I28" s="50"/>
      <c r="J28" s="50"/>
      <c r="K28" s="50"/>
      <c r="L28" s="50"/>
      <c r="M28" s="50"/>
      <c r="N28" s="30">
        <v>12.0</v>
      </c>
      <c r="O28" s="30">
        <v>0.0</v>
      </c>
      <c r="P28" s="50"/>
      <c r="Q28" s="10">
        <f t="shared" si="5"/>
        <v>12</v>
      </c>
      <c r="R28" s="11">
        <f t="shared" si="6"/>
        <v>0.0233463035</v>
      </c>
    </row>
    <row r="29" ht="14.25" customHeight="1">
      <c r="A29" s="27"/>
      <c r="B29" s="31" t="s">
        <v>35</v>
      </c>
      <c r="C29" s="45">
        <v>0.0</v>
      </c>
      <c r="D29" s="60">
        <v>0.0</v>
      </c>
      <c r="E29" s="45">
        <v>4.0</v>
      </c>
      <c r="F29" s="45">
        <v>0.0</v>
      </c>
      <c r="G29" s="46"/>
      <c r="H29" s="46"/>
      <c r="I29" s="46"/>
      <c r="J29" s="46"/>
      <c r="K29" s="46"/>
      <c r="L29" s="46"/>
      <c r="M29" s="46"/>
      <c r="N29" s="45">
        <v>19.0</v>
      </c>
      <c r="O29" s="45">
        <v>10.0</v>
      </c>
      <c r="P29" s="46"/>
      <c r="Q29" s="10">
        <f t="shared" si="5"/>
        <v>33</v>
      </c>
      <c r="R29" s="11">
        <f t="shared" si="6"/>
        <v>0.06420233463</v>
      </c>
    </row>
    <row r="30" ht="14.25" customHeight="1">
      <c r="A30" s="27"/>
      <c r="B30" s="29" t="s">
        <v>15</v>
      </c>
      <c r="C30" s="30">
        <v>10.0</v>
      </c>
      <c r="D30" s="62">
        <v>9.0</v>
      </c>
      <c r="E30" s="30">
        <v>7.0</v>
      </c>
      <c r="F30" s="30">
        <v>13.0</v>
      </c>
      <c r="G30" s="51"/>
      <c r="H30" s="51"/>
      <c r="I30" s="51"/>
      <c r="J30" s="51"/>
      <c r="K30" s="51"/>
      <c r="L30" s="51"/>
      <c r="M30" s="51"/>
      <c r="N30" s="30">
        <v>10.0</v>
      </c>
      <c r="O30" s="30">
        <v>22.0</v>
      </c>
      <c r="P30" s="51"/>
      <c r="Q30" s="9">
        <f t="shared" si="5"/>
        <v>71</v>
      </c>
      <c r="R30" s="11">
        <f t="shared" si="6"/>
        <v>0.1381322957</v>
      </c>
    </row>
    <row r="31" ht="14.25" customHeight="1">
      <c r="A31" s="27"/>
      <c r="B31" s="31" t="s">
        <v>36</v>
      </c>
      <c r="C31" s="45">
        <v>0.0</v>
      </c>
      <c r="D31" s="45">
        <v>0.0</v>
      </c>
      <c r="E31" s="45">
        <v>0.0</v>
      </c>
      <c r="F31" s="45">
        <v>0.0</v>
      </c>
      <c r="G31" s="47"/>
      <c r="H31" s="47"/>
      <c r="I31" s="47"/>
      <c r="J31" s="47"/>
      <c r="K31" s="47"/>
      <c r="L31" s="47"/>
      <c r="M31" s="47"/>
      <c r="N31" s="45">
        <v>0.0</v>
      </c>
      <c r="O31" s="45">
        <v>0.0</v>
      </c>
      <c r="P31" s="47"/>
      <c r="Q31" s="10">
        <f t="shared" si="5"/>
        <v>0</v>
      </c>
      <c r="R31" s="11">
        <f t="shared" si="6"/>
        <v>0</v>
      </c>
    </row>
    <row r="32" ht="14.25" customHeight="1">
      <c r="A32" s="28"/>
      <c r="B32" s="29" t="s">
        <v>16</v>
      </c>
      <c r="C32" s="30">
        <v>43.0</v>
      </c>
      <c r="D32" s="30">
        <v>60.0</v>
      </c>
      <c r="E32" s="30">
        <v>44.0</v>
      </c>
      <c r="F32" s="30">
        <v>18.0</v>
      </c>
      <c r="G32" s="51"/>
      <c r="H32" s="51"/>
      <c r="I32" s="51"/>
      <c r="J32" s="51"/>
      <c r="K32" s="51"/>
      <c r="L32" s="51"/>
      <c r="M32" s="51"/>
      <c r="N32" s="30">
        <v>51.0</v>
      </c>
      <c r="O32" s="30">
        <v>33.0</v>
      </c>
      <c r="P32" s="51"/>
      <c r="Q32" s="10">
        <f t="shared" si="5"/>
        <v>249</v>
      </c>
      <c r="R32" s="11">
        <f t="shared" si="6"/>
        <v>0.4844357977</v>
      </c>
    </row>
    <row r="33" ht="14.25" customHeight="1">
      <c r="A33" s="28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28"/>
      <c r="R33" s="38"/>
    </row>
    <row r="34" ht="14.25" customHeight="1">
      <c r="A34" s="39"/>
      <c r="B34" s="40"/>
      <c r="C34" s="41"/>
      <c r="D34" s="42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2"/>
      <c r="R34" s="43"/>
    </row>
    <row r="35" ht="14.25" customHeight="1">
      <c r="A35" s="28"/>
      <c r="B35" s="7" t="s">
        <v>37</v>
      </c>
    </row>
    <row r="36" ht="14.25" customHeight="1">
      <c r="A36" s="28"/>
      <c r="B36" s="8" t="s">
        <v>29</v>
      </c>
      <c r="C36" s="9">
        <v>6.0</v>
      </c>
      <c r="D36" s="10">
        <v>7.0</v>
      </c>
      <c r="E36" s="9">
        <v>8.0</v>
      </c>
      <c r="F36" s="9">
        <v>9.0</v>
      </c>
      <c r="G36" s="9">
        <v>10.0</v>
      </c>
      <c r="H36" s="9">
        <v>11.0</v>
      </c>
      <c r="I36" s="9">
        <v>12.0</v>
      </c>
      <c r="J36" s="9">
        <v>13.0</v>
      </c>
      <c r="K36" s="9">
        <v>14.0</v>
      </c>
      <c r="L36" s="9">
        <v>15.0</v>
      </c>
      <c r="M36" s="9">
        <v>16.0</v>
      </c>
      <c r="N36" s="9">
        <v>17.0</v>
      </c>
      <c r="O36" s="9">
        <v>18.0</v>
      </c>
      <c r="P36" s="9">
        <v>19.0</v>
      </c>
      <c r="Q36" s="10" t="s">
        <v>20</v>
      </c>
      <c r="R36" s="11" t="s">
        <v>21</v>
      </c>
    </row>
    <row r="37" ht="14.25" customHeight="1">
      <c r="A37" s="28"/>
      <c r="B37" s="29" t="s">
        <v>38</v>
      </c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10">
        <f t="shared" ref="Q37:Q55" si="7">SUM(C37:P37)</f>
        <v>0</v>
      </c>
      <c r="R37" s="11">
        <f t="shared" ref="R37:R55" si="8">Q37/$Q$15</f>
        <v>0</v>
      </c>
    </row>
    <row r="38" ht="14.25" customHeight="1">
      <c r="A38" s="28"/>
      <c r="B38" s="31" t="s">
        <v>39</v>
      </c>
      <c r="C38" s="45">
        <v>1.0</v>
      </c>
      <c r="D38" s="46"/>
      <c r="E38" s="47"/>
      <c r="F38" s="47"/>
      <c r="G38" s="47"/>
      <c r="H38" s="48"/>
      <c r="I38" s="48"/>
      <c r="J38" s="48"/>
      <c r="K38" s="48"/>
      <c r="L38" s="47"/>
      <c r="M38" s="48"/>
      <c r="N38" s="47"/>
      <c r="O38" s="48"/>
      <c r="P38" s="48"/>
      <c r="Q38" s="10">
        <f t="shared" si="7"/>
        <v>1</v>
      </c>
      <c r="R38" s="11">
        <f t="shared" si="8"/>
        <v>0.001945525292</v>
      </c>
    </row>
    <row r="39" ht="14.25" customHeight="1">
      <c r="A39" s="28"/>
      <c r="B39" s="29" t="s">
        <v>40</v>
      </c>
      <c r="C39" s="49">
        <v>1.0</v>
      </c>
      <c r="D39" s="50"/>
      <c r="E39" s="44"/>
      <c r="F39" s="44"/>
      <c r="G39" s="44"/>
      <c r="H39" s="44"/>
      <c r="I39" s="44"/>
      <c r="J39" s="44"/>
      <c r="K39" s="51"/>
      <c r="L39" s="44"/>
      <c r="M39" s="51"/>
      <c r="N39" s="52"/>
      <c r="O39" s="51"/>
      <c r="P39" s="51"/>
      <c r="Q39" s="10">
        <f t="shared" si="7"/>
        <v>1</v>
      </c>
      <c r="R39" s="11">
        <f t="shared" si="8"/>
        <v>0.001945525292</v>
      </c>
    </row>
    <row r="40" ht="14.25" customHeight="1">
      <c r="A40" s="28"/>
      <c r="B40" s="31" t="s">
        <v>41</v>
      </c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10">
        <f t="shared" si="7"/>
        <v>0</v>
      </c>
      <c r="R40" s="11">
        <f t="shared" si="8"/>
        <v>0</v>
      </c>
    </row>
    <row r="41" ht="14.25" customHeight="1">
      <c r="A41" s="28"/>
      <c r="B41" s="29" t="s">
        <v>42</v>
      </c>
      <c r="C41" s="30">
        <v>3.0</v>
      </c>
      <c r="D41" s="51"/>
      <c r="E41" s="51"/>
      <c r="F41" s="30">
        <v>2.0</v>
      </c>
      <c r="G41" s="51"/>
      <c r="H41" s="51"/>
      <c r="I41" s="44"/>
      <c r="J41" s="51"/>
      <c r="K41" s="51"/>
      <c r="L41" s="44"/>
      <c r="M41" s="44"/>
      <c r="N41" s="44"/>
      <c r="O41" s="51"/>
      <c r="P41" s="51"/>
      <c r="Q41" s="10">
        <f t="shared" si="7"/>
        <v>5</v>
      </c>
      <c r="R41" s="11">
        <f t="shared" si="8"/>
        <v>0.009727626459</v>
      </c>
    </row>
    <row r="42" ht="14.25" customHeight="1">
      <c r="A42" s="28"/>
      <c r="B42" s="31" t="s">
        <v>43</v>
      </c>
      <c r="C42" s="48"/>
      <c r="D42" s="48"/>
      <c r="E42" s="47"/>
      <c r="F42" s="48"/>
      <c r="G42" s="48"/>
      <c r="H42" s="48"/>
      <c r="I42" s="48"/>
      <c r="J42" s="48"/>
      <c r="K42" s="48"/>
      <c r="L42" s="47"/>
      <c r="M42" s="53"/>
      <c r="N42" s="47"/>
      <c r="O42" s="48"/>
      <c r="P42" s="47"/>
      <c r="Q42" s="10">
        <f t="shared" si="7"/>
        <v>0</v>
      </c>
      <c r="R42" s="11">
        <f t="shared" si="8"/>
        <v>0</v>
      </c>
    </row>
    <row r="43" ht="14.25" customHeight="1">
      <c r="A43" s="28"/>
      <c r="B43" s="29" t="s">
        <v>44</v>
      </c>
      <c r="C43" s="44"/>
      <c r="D43" s="51"/>
      <c r="E43" s="44"/>
      <c r="F43" s="44"/>
      <c r="G43" s="44"/>
      <c r="H43" s="44"/>
      <c r="I43" s="44"/>
      <c r="J43" s="44"/>
      <c r="K43" s="44"/>
      <c r="L43" s="44"/>
      <c r="M43" s="44"/>
      <c r="N43" s="54"/>
      <c r="O43" s="44"/>
      <c r="P43" s="44"/>
      <c r="Q43" s="10">
        <f t="shared" si="7"/>
        <v>0</v>
      </c>
      <c r="R43" s="11">
        <f t="shared" si="8"/>
        <v>0</v>
      </c>
    </row>
    <row r="44" ht="14.25" customHeight="1">
      <c r="A44" s="28"/>
      <c r="B44" s="31" t="s">
        <v>45</v>
      </c>
      <c r="C44" s="48"/>
      <c r="D44" s="47"/>
      <c r="E44" s="48"/>
      <c r="F44" s="47"/>
      <c r="G44" s="48"/>
      <c r="H44" s="47"/>
      <c r="I44" s="47"/>
      <c r="J44" s="47"/>
      <c r="K44" s="48"/>
      <c r="L44" s="47"/>
      <c r="M44" s="55"/>
      <c r="N44" s="47"/>
      <c r="O44" s="48"/>
      <c r="P44" s="48"/>
      <c r="Q44" s="10">
        <f t="shared" si="7"/>
        <v>0</v>
      </c>
      <c r="R44" s="11">
        <f t="shared" si="8"/>
        <v>0</v>
      </c>
    </row>
    <row r="45" ht="14.25" customHeight="1">
      <c r="A45" s="28"/>
      <c r="B45" s="29" t="s">
        <v>46</v>
      </c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54"/>
      <c r="N45" s="44"/>
      <c r="O45" s="44"/>
      <c r="P45" s="44"/>
      <c r="Q45" s="10">
        <f t="shared" si="7"/>
        <v>0</v>
      </c>
      <c r="R45" s="11">
        <f t="shared" si="8"/>
        <v>0</v>
      </c>
    </row>
    <row r="46" ht="14.25" customHeight="1">
      <c r="A46" s="28"/>
      <c r="B46" s="31" t="s">
        <v>47</v>
      </c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53"/>
      <c r="N46" s="48"/>
      <c r="O46" s="48"/>
      <c r="P46" s="48"/>
      <c r="Q46" s="10">
        <f t="shared" si="7"/>
        <v>0</v>
      </c>
      <c r="R46" s="11">
        <f t="shared" si="8"/>
        <v>0</v>
      </c>
    </row>
    <row r="47" ht="14.25" customHeight="1">
      <c r="A47" s="28"/>
      <c r="B47" s="29" t="s">
        <v>48</v>
      </c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54"/>
      <c r="N47" s="44"/>
      <c r="O47" s="44"/>
      <c r="P47" s="44"/>
      <c r="Q47" s="10">
        <f t="shared" si="7"/>
        <v>0</v>
      </c>
      <c r="R47" s="11">
        <f t="shared" si="8"/>
        <v>0</v>
      </c>
    </row>
    <row r="48" ht="14.25" customHeight="1">
      <c r="A48" s="27"/>
      <c r="B48" s="31" t="s">
        <v>49</v>
      </c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53"/>
      <c r="N48" s="48"/>
      <c r="O48" s="48"/>
      <c r="P48" s="48"/>
      <c r="Q48" s="10">
        <f t="shared" si="7"/>
        <v>0</v>
      </c>
      <c r="R48" s="11">
        <f t="shared" si="8"/>
        <v>0</v>
      </c>
    </row>
    <row r="49" ht="14.25" customHeight="1">
      <c r="A49" s="28"/>
      <c r="B49" s="29" t="s">
        <v>50</v>
      </c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54"/>
      <c r="N49" s="44"/>
      <c r="O49" s="44"/>
      <c r="P49" s="44"/>
      <c r="Q49" s="10">
        <f t="shared" si="7"/>
        <v>0</v>
      </c>
      <c r="R49" s="11">
        <f t="shared" si="8"/>
        <v>0</v>
      </c>
    </row>
    <row r="50" ht="14.25" customHeight="1">
      <c r="A50" s="28"/>
      <c r="B50" s="31" t="s">
        <v>51</v>
      </c>
      <c r="C50" s="48"/>
      <c r="D50" s="48"/>
      <c r="E50" s="48"/>
      <c r="F50" s="48"/>
      <c r="G50" s="48"/>
      <c r="H50" s="47"/>
      <c r="I50" s="48"/>
      <c r="J50" s="48"/>
      <c r="K50" s="48"/>
      <c r="L50" s="48"/>
      <c r="M50" s="46"/>
      <c r="N50" s="48"/>
      <c r="O50" s="48"/>
      <c r="P50" s="48"/>
      <c r="Q50" s="10">
        <f t="shared" si="7"/>
        <v>0</v>
      </c>
      <c r="R50" s="11">
        <f t="shared" si="8"/>
        <v>0</v>
      </c>
    </row>
    <row r="51" ht="14.25" customHeight="1">
      <c r="A51" s="27"/>
      <c r="B51" s="29" t="s">
        <v>12</v>
      </c>
      <c r="C51" s="51">
        <f t="shared" ref="C51:F51" si="9">SUM(C23:C25)</f>
        <v>2</v>
      </c>
      <c r="D51" s="51">
        <f t="shared" si="9"/>
        <v>3</v>
      </c>
      <c r="E51" s="51">
        <f t="shared" si="9"/>
        <v>3</v>
      </c>
      <c r="F51" s="51">
        <f t="shared" si="9"/>
        <v>0</v>
      </c>
      <c r="G51" s="51"/>
      <c r="H51" s="51"/>
      <c r="I51" s="51"/>
      <c r="J51" s="51"/>
      <c r="K51" s="51"/>
      <c r="L51" s="51"/>
      <c r="M51" s="51"/>
      <c r="N51" s="51">
        <f t="shared" ref="N51:O51" si="10">SUM(N23:N25)</f>
        <v>1</v>
      </c>
      <c r="O51" s="51">
        <f t="shared" si="10"/>
        <v>4</v>
      </c>
      <c r="P51" s="51"/>
      <c r="Q51" s="10">
        <f t="shared" si="7"/>
        <v>13</v>
      </c>
      <c r="R51" s="11">
        <f t="shared" si="8"/>
        <v>0.02529182879</v>
      </c>
    </row>
    <row r="52" ht="14.25" customHeight="1">
      <c r="A52" s="27"/>
      <c r="B52" s="31" t="s">
        <v>13</v>
      </c>
      <c r="C52" s="47">
        <f t="shared" ref="C52:F52" si="11">SUM(C26:C27)</f>
        <v>7</v>
      </c>
      <c r="D52" s="47">
        <f t="shared" si="11"/>
        <v>3</v>
      </c>
      <c r="E52" s="47">
        <f t="shared" si="11"/>
        <v>9</v>
      </c>
      <c r="F52" s="47">
        <f t="shared" si="11"/>
        <v>6</v>
      </c>
      <c r="G52" s="47"/>
      <c r="H52" s="47"/>
      <c r="I52" s="47"/>
      <c r="J52" s="47"/>
      <c r="K52" s="47"/>
      <c r="L52" s="47"/>
      <c r="M52" s="47"/>
      <c r="N52" s="47">
        <f t="shared" ref="N52:O52" si="12">SUM(N26:N27)</f>
        <v>0</v>
      </c>
      <c r="O52" s="47">
        <f t="shared" si="12"/>
        <v>2</v>
      </c>
      <c r="P52" s="47"/>
      <c r="Q52" s="10">
        <f t="shared" si="7"/>
        <v>27</v>
      </c>
      <c r="R52" s="11">
        <f t="shared" si="8"/>
        <v>0.05252918288</v>
      </c>
    </row>
    <row r="53" ht="14.25" customHeight="1">
      <c r="A53" s="27"/>
      <c r="B53" s="29" t="s">
        <v>14</v>
      </c>
      <c r="C53" s="51">
        <f t="shared" ref="C53:F53" si="13">SUM(C28:C29)</f>
        <v>0</v>
      </c>
      <c r="D53" s="51">
        <f t="shared" si="13"/>
        <v>0</v>
      </c>
      <c r="E53" s="51">
        <f t="shared" si="13"/>
        <v>4</v>
      </c>
      <c r="F53" s="51">
        <f t="shared" si="13"/>
        <v>0</v>
      </c>
      <c r="G53" s="51"/>
      <c r="H53" s="51"/>
      <c r="I53" s="51"/>
      <c r="J53" s="51"/>
      <c r="K53" s="51"/>
      <c r="L53" s="51"/>
      <c r="M53" s="51"/>
      <c r="N53" s="51">
        <f t="shared" ref="N53:O53" si="14">SUM(N28:N29)</f>
        <v>31</v>
      </c>
      <c r="O53" s="51">
        <f t="shared" si="14"/>
        <v>10</v>
      </c>
      <c r="P53" s="51"/>
      <c r="Q53" s="10">
        <f t="shared" si="7"/>
        <v>45</v>
      </c>
      <c r="R53" s="11">
        <f t="shared" si="8"/>
        <v>0.08754863813</v>
      </c>
    </row>
    <row r="54" ht="14.25" customHeight="1">
      <c r="A54" s="27"/>
      <c r="B54" s="31" t="s">
        <v>15</v>
      </c>
      <c r="C54" s="47">
        <f t="shared" ref="C54:F54" si="15">SUM(C30:C31)</f>
        <v>10</v>
      </c>
      <c r="D54" s="47">
        <f t="shared" si="15"/>
        <v>9</v>
      </c>
      <c r="E54" s="47">
        <f t="shared" si="15"/>
        <v>7</v>
      </c>
      <c r="F54" s="47">
        <f t="shared" si="15"/>
        <v>13</v>
      </c>
      <c r="G54" s="47"/>
      <c r="H54" s="47"/>
      <c r="I54" s="47"/>
      <c r="J54" s="47"/>
      <c r="K54" s="47"/>
      <c r="L54" s="47"/>
      <c r="M54" s="47"/>
      <c r="N54" s="47">
        <f t="shared" ref="N54:O54" si="16">SUM(N30:N31)</f>
        <v>10</v>
      </c>
      <c r="O54" s="47">
        <f t="shared" si="16"/>
        <v>22</v>
      </c>
      <c r="P54" s="47"/>
      <c r="Q54" s="10">
        <f t="shared" si="7"/>
        <v>71</v>
      </c>
      <c r="R54" s="11">
        <f t="shared" si="8"/>
        <v>0.1381322957</v>
      </c>
    </row>
    <row r="55" ht="14.25" customHeight="1">
      <c r="A55" s="27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9">
        <f t="shared" si="7"/>
        <v>0</v>
      </c>
      <c r="R55" s="11">
        <f t="shared" si="8"/>
        <v>0</v>
      </c>
    </row>
    <row r="56" ht="14.25" customHeight="1">
      <c r="A56" s="2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27"/>
      <c r="R56" s="20"/>
    </row>
  </sheetData>
  <mergeCells count="3">
    <mergeCell ref="A1:R1"/>
    <mergeCell ref="B18:R18"/>
    <mergeCell ref="B35:R35"/>
  </mergeCell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14.25"/>
    <col customWidth="1" min="2" max="2" width="17.25"/>
    <col customWidth="1" min="3" max="16" width="7.0"/>
    <col customWidth="1" min="17" max="17" width="8.75"/>
    <col customWidth="1" min="18" max="18" width="8.5"/>
  </cols>
  <sheetData>
    <row r="1" ht="12.0" customHeight="1">
      <c r="A1" s="7" t="s">
        <v>17</v>
      </c>
    </row>
    <row r="2" ht="12.0" customHeight="1">
      <c r="A2" s="8" t="s">
        <v>18</v>
      </c>
      <c r="B2" s="8" t="s">
        <v>19</v>
      </c>
      <c r="C2" s="9">
        <v>6.0</v>
      </c>
      <c r="D2" s="9">
        <v>7.0</v>
      </c>
      <c r="E2" s="9">
        <v>8.0</v>
      </c>
      <c r="F2" s="9">
        <v>9.0</v>
      </c>
      <c r="G2" s="9">
        <v>10.0</v>
      </c>
      <c r="H2" s="9">
        <v>11.0</v>
      </c>
      <c r="I2" s="9">
        <v>12.0</v>
      </c>
      <c r="J2" s="9">
        <v>13.0</v>
      </c>
      <c r="K2" s="9">
        <v>14.0</v>
      </c>
      <c r="L2" s="9">
        <v>15.0</v>
      </c>
      <c r="M2" s="9">
        <v>16.0</v>
      </c>
      <c r="N2" s="9">
        <v>17.0</v>
      </c>
      <c r="O2" s="9">
        <v>18.0</v>
      </c>
      <c r="P2" s="9">
        <v>19.0</v>
      </c>
      <c r="Q2" s="10" t="s">
        <v>20</v>
      </c>
      <c r="R2" s="11" t="s">
        <v>21</v>
      </c>
    </row>
    <row r="3" ht="14.25" customHeight="1">
      <c r="A3" s="15" t="s">
        <v>22</v>
      </c>
      <c r="B3" s="15" t="s">
        <v>23</v>
      </c>
      <c r="C3" s="57">
        <v>2.0</v>
      </c>
      <c r="D3" s="57">
        <v>2.0</v>
      </c>
      <c r="E3" s="57">
        <v>2.0</v>
      </c>
      <c r="F3" s="57">
        <v>2.0</v>
      </c>
      <c r="G3" s="63">
        <v>5.0</v>
      </c>
      <c r="H3" s="63">
        <v>0.0</v>
      </c>
      <c r="I3" s="63">
        <v>2.0</v>
      </c>
      <c r="J3" s="63">
        <v>1.0</v>
      </c>
      <c r="K3" s="63">
        <v>1.0</v>
      </c>
      <c r="L3" s="63">
        <v>0.0</v>
      </c>
      <c r="M3" s="63">
        <v>0.0</v>
      </c>
      <c r="N3" s="45">
        <v>5.0</v>
      </c>
      <c r="O3" s="45">
        <v>3.0</v>
      </c>
      <c r="P3" s="63">
        <v>3.0</v>
      </c>
      <c r="Q3" s="10">
        <f t="shared" ref="Q3:Q14" si="1">SUM(C3:P3)</f>
        <v>28</v>
      </c>
      <c r="R3" s="11">
        <f t="shared" ref="R3:R14" si="2">Q3/$Q$15</f>
        <v>0.0351758794</v>
      </c>
    </row>
    <row r="4" ht="14.25" customHeight="1">
      <c r="A4" s="64" t="s">
        <v>22</v>
      </c>
      <c r="B4" s="12"/>
      <c r="C4" s="56"/>
      <c r="D4" s="56"/>
      <c r="E4" s="56"/>
      <c r="F4" s="56"/>
      <c r="G4" s="44"/>
      <c r="H4" s="44"/>
      <c r="I4" s="44"/>
      <c r="J4" s="44"/>
      <c r="K4" s="44"/>
      <c r="L4" s="44"/>
      <c r="M4" s="44"/>
      <c r="N4" s="30"/>
      <c r="O4" s="30"/>
      <c r="P4" s="44"/>
      <c r="Q4" s="10">
        <f t="shared" si="1"/>
        <v>0</v>
      </c>
      <c r="R4" s="11">
        <f t="shared" si="2"/>
        <v>0</v>
      </c>
    </row>
    <row r="5" ht="14.25" customHeight="1">
      <c r="A5" s="15" t="s">
        <v>22</v>
      </c>
      <c r="B5" s="15" t="s">
        <v>25</v>
      </c>
      <c r="C5" s="57">
        <v>11.0</v>
      </c>
      <c r="D5" s="57">
        <v>10.0</v>
      </c>
      <c r="E5" s="57">
        <v>14.0</v>
      </c>
      <c r="F5" s="57">
        <v>6.0</v>
      </c>
      <c r="G5" s="63">
        <v>10.0</v>
      </c>
      <c r="H5" s="63">
        <v>2.0</v>
      </c>
      <c r="I5" s="63">
        <v>10.0</v>
      </c>
      <c r="J5" s="63">
        <v>1.0</v>
      </c>
      <c r="K5" s="63">
        <v>11.0</v>
      </c>
      <c r="L5" s="63">
        <v>2.0</v>
      </c>
      <c r="M5" s="63">
        <v>10.0</v>
      </c>
      <c r="N5" s="45">
        <v>15.0</v>
      </c>
      <c r="O5" s="45">
        <v>11.0</v>
      </c>
      <c r="P5" s="63">
        <v>5.0</v>
      </c>
      <c r="Q5" s="10">
        <f t="shared" si="1"/>
        <v>118</v>
      </c>
      <c r="R5" s="11">
        <f t="shared" si="2"/>
        <v>0.148241206</v>
      </c>
    </row>
    <row r="6" ht="14.25" customHeight="1">
      <c r="A6" s="64" t="s">
        <v>25</v>
      </c>
      <c r="B6" s="64" t="s">
        <v>22</v>
      </c>
      <c r="C6" s="56">
        <v>4.0</v>
      </c>
      <c r="D6" s="56">
        <v>2.0</v>
      </c>
      <c r="E6" s="56">
        <v>9.0</v>
      </c>
      <c r="F6" s="56">
        <v>4.0</v>
      </c>
      <c r="G6" s="49">
        <v>0.0</v>
      </c>
      <c r="H6" s="49">
        <v>3.0</v>
      </c>
      <c r="I6" s="49">
        <v>3.0</v>
      </c>
      <c r="J6" s="49">
        <v>2.0</v>
      </c>
      <c r="K6" s="49">
        <v>1.0</v>
      </c>
      <c r="L6" s="49">
        <v>1.0</v>
      </c>
      <c r="M6" s="49">
        <v>2.0</v>
      </c>
      <c r="N6" s="30">
        <v>3.0</v>
      </c>
      <c r="O6" s="30">
        <v>3.0</v>
      </c>
      <c r="P6" s="49">
        <v>2.0</v>
      </c>
      <c r="Q6" s="10">
        <f t="shared" si="1"/>
        <v>39</v>
      </c>
      <c r="R6" s="11">
        <f t="shared" si="2"/>
        <v>0.04899497487</v>
      </c>
    </row>
    <row r="7" ht="14.25" customHeight="1">
      <c r="A7" s="15" t="s">
        <v>25</v>
      </c>
      <c r="B7" s="15" t="s">
        <v>23</v>
      </c>
      <c r="C7" s="57">
        <v>12.0</v>
      </c>
      <c r="D7" s="57">
        <v>2.0</v>
      </c>
      <c r="E7" s="57">
        <v>3.0</v>
      </c>
      <c r="F7" s="57">
        <v>1.0</v>
      </c>
      <c r="G7" s="63">
        <v>5.0</v>
      </c>
      <c r="H7" s="63">
        <v>4.0</v>
      </c>
      <c r="I7" s="63">
        <v>11.0</v>
      </c>
      <c r="J7" s="63">
        <v>3.0</v>
      </c>
      <c r="K7" s="63">
        <v>9.0</v>
      </c>
      <c r="L7" s="63">
        <v>4.0</v>
      </c>
      <c r="M7" s="63">
        <v>11.0</v>
      </c>
      <c r="N7" s="45">
        <v>18.0</v>
      </c>
      <c r="O7" s="45">
        <v>12.0</v>
      </c>
      <c r="P7" s="63">
        <v>18.0</v>
      </c>
      <c r="Q7" s="10">
        <f t="shared" si="1"/>
        <v>113</v>
      </c>
      <c r="R7" s="11">
        <f t="shared" si="2"/>
        <v>0.141959799</v>
      </c>
    </row>
    <row r="8" ht="14.25" customHeight="1">
      <c r="A8" s="64" t="s">
        <v>25</v>
      </c>
      <c r="B8" s="12"/>
      <c r="C8" s="58"/>
      <c r="D8" s="58"/>
      <c r="E8" s="58"/>
      <c r="F8" s="58"/>
      <c r="G8" s="44"/>
      <c r="H8" s="44"/>
      <c r="I8" s="44"/>
      <c r="J8" s="44"/>
      <c r="K8" s="44"/>
      <c r="L8" s="44"/>
      <c r="M8" s="44"/>
      <c r="N8" s="51"/>
      <c r="O8" s="51"/>
      <c r="P8" s="44"/>
      <c r="Q8" s="10">
        <f t="shared" si="1"/>
        <v>0</v>
      </c>
      <c r="R8" s="11">
        <f t="shared" si="2"/>
        <v>0</v>
      </c>
    </row>
    <row r="9" ht="14.25" customHeight="1">
      <c r="A9" s="15" t="s">
        <v>24</v>
      </c>
      <c r="B9" s="16"/>
      <c r="C9" s="59"/>
      <c r="D9" s="59"/>
      <c r="E9" s="59"/>
      <c r="F9" s="59"/>
      <c r="G9" s="53"/>
      <c r="H9" s="53"/>
      <c r="I9" s="53"/>
      <c r="J9" s="53"/>
      <c r="K9" s="53"/>
      <c r="L9" s="53"/>
      <c r="M9" s="53"/>
      <c r="N9" s="46"/>
      <c r="O9" s="46"/>
      <c r="P9" s="48"/>
      <c r="Q9" s="10">
        <f t="shared" si="1"/>
        <v>0</v>
      </c>
      <c r="R9" s="11">
        <f t="shared" si="2"/>
        <v>0</v>
      </c>
    </row>
    <row r="10" ht="14.25" customHeight="1">
      <c r="A10" s="64" t="s">
        <v>24</v>
      </c>
      <c r="B10" s="17"/>
      <c r="C10" s="56"/>
      <c r="D10" s="56"/>
      <c r="E10" s="56"/>
      <c r="F10" s="56"/>
      <c r="G10" s="54"/>
      <c r="H10" s="54"/>
      <c r="I10" s="54"/>
      <c r="J10" s="54"/>
      <c r="K10" s="54"/>
      <c r="L10" s="54"/>
      <c r="M10" s="54"/>
      <c r="N10" s="30"/>
      <c r="O10" s="30"/>
      <c r="P10" s="44"/>
      <c r="Q10" s="10">
        <f t="shared" si="1"/>
        <v>0</v>
      </c>
      <c r="R10" s="11">
        <f t="shared" si="2"/>
        <v>0</v>
      </c>
    </row>
    <row r="11" ht="14.25" customHeight="1">
      <c r="A11" s="15" t="s">
        <v>24</v>
      </c>
      <c r="B11" s="16"/>
      <c r="C11" s="57"/>
      <c r="D11" s="57"/>
      <c r="E11" s="57"/>
      <c r="F11" s="59"/>
      <c r="G11" s="53"/>
      <c r="H11" s="53"/>
      <c r="I11" s="53"/>
      <c r="J11" s="53"/>
      <c r="K11" s="53"/>
      <c r="L11" s="53"/>
      <c r="M11" s="53"/>
      <c r="N11" s="45"/>
      <c r="O11" s="45"/>
      <c r="P11" s="48"/>
      <c r="Q11" s="10">
        <f t="shared" si="1"/>
        <v>0</v>
      </c>
      <c r="R11" s="11">
        <f t="shared" si="2"/>
        <v>0</v>
      </c>
    </row>
    <row r="12" ht="14.25" customHeight="1">
      <c r="A12" s="64" t="s">
        <v>23</v>
      </c>
      <c r="B12" s="12"/>
      <c r="C12" s="56"/>
      <c r="D12" s="56"/>
      <c r="E12" s="56"/>
      <c r="F12" s="56"/>
      <c r="G12" s="44"/>
      <c r="H12" s="44"/>
      <c r="I12" s="44"/>
      <c r="J12" s="44"/>
      <c r="K12" s="44"/>
      <c r="L12" s="44"/>
      <c r="M12" s="44"/>
      <c r="N12" s="30"/>
      <c r="O12" s="30"/>
      <c r="P12" s="44"/>
      <c r="Q12" s="10">
        <f t="shared" si="1"/>
        <v>0</v>
      </c>
      <c r="R12" s="11">
        <f t="shared" si="2"/>
        <v>0</v>
      </c>
    </row>
    <row r="13" ht="14.25" customHeight="1">
      <c r="A13" s="15" t="s">
        <v>23</v>
      </c>
      <c r="B13" s="15" t="s">
        <v>25</v>
      </c>
      <c r="C13" s="57">
        <v>69.0</v>
      </c>
      <c r="D13" s="57">
        <v>51.0</v>
      </c>
      <c r="E13" s="57">
        <v>59.0</v>
      </c>
      <c r="F13" s="57">
        <v>49.0</v>
      </c>
      <c r="G13" s="63">
        <v>13.0</v>
      </c>
      <c r="H13" s="63">
        <v>24.0</v>
      </c>
      <c r="I13" s="63">
        <v>22.0</v>
      </c>
      <c r="J13" s="63">
        <v>18.0</v>
      </c>
      <c r="K13" s="63">
        <v>25.0</v>
      </c>
      <c r="L13" s="63">
        <v>19.0</v>
      </c>
      <c r="M13" s="63">
        <v>12.0</v>
      </c>
      <c r="N13" s="45">
        <v>40.0</v>
      </c>
      <c r="O13" s="45">
        <v>40.0</v>
      </c>
      <c r="P13" s="63">
        <v>25.0</v>
      </c>
      <c r="Q13" s="10">
        <f t="shared" si="1"/>
        <v>466</v>
      </c>
      <c r="R13" s="11">
        <f t="shared" si="2"/>
        <v>0.5854271357</v>
      </c>
    </row>
    <row r="14" ht="14.25" customHeight="1">
      <c r="A14" s="64" t="s">
        <v>23</v>
      </c>
      <c r="B14" s="64" t="s">
        <v>22</v>
      </c>
      <c r="C14" s="56">
        <v>4.0</v>
      </c>
      <c r="D14" s="56">
        <v>2.0</v>
      </c>
      <c r="E14" s="56">
        <v>4.0</v>
      </c>
      <c r="F14" s="56">
        <v>1.0</v>
      </c>
      <c r="G14" s="49">
        <v>1.0</v>
      </c>
      <c r="H14" s="49">
        <v>4.0</v>
      </c>
      <c r="I14" s="49">
        <v>3.0</v>
      </c>
      <c r="J14" s="49">
        <v>4.0</v>
      </c>
      <c r="K14" s="49">
        <v>1.0</v>
      </c>
      <c r="L14" s="49">
        <v>2.0</v>
      </c>
      <c r="M14" s="49">
        <v>1.0</v>
      </c>
      <c r="N14" s="30">
        <v>2.0</v>
      </c>
      <c r="O14" s="30">
        <v>0.0</v>
      </c>
      <c r="P14" s="49">
        <v>3.0</v>
      </c>
      <c r="Q14" s="10">
        <f t="shared" si="1"/>
        <v>32</v>
      </c>
      <c r="R14" s="11">
        <f t="shared" si="2"/>
        <v>0.04020100503</v>
      </c>
    </row>
    <row r="15" ht="14.25" customHeight="1">
      <c r="A15" s="19" t="s">
        <v>52</v>
      </c>
      <c r="B15" s="19" t="s">
        <v>20</v>
      </c>
      <c r="C15" s="10">
        <f t="shared" ref="C15:Q15" si="3">SUM(C3:C14)</f>
        <v>102</v>
      </c>
      <c r="D15" s="10">
        <f t="shared" si="3"/>
        <v>69</v>
      </c>
      <c r="E15" s="10">
        <f t="shared" si="3"/>
        <v>91</v>
      </c>
      <c r="F15" s="10">
        <f t="shared" si="3"/>
        <v>63</v>
      </c>
      <c r="G15" s="10">
        <f t="shared" si="3"/>
        <v>34</v>
      </c>
      <c r="H15" s="10">
        <f t="shared" si="3"/>
        <v>37</v>
      </c>
      <c r="I15" s="10">
        <f t="shared" si="3"/>
        <v>51</v>
      </c>
      <c r="J15" s="10">
        <f t="shared" si="3"/>
        <v>29</v>
      </c>
      <c r="K15" s="10">
        <f t="shared" si="3"/>
        <v>48</v>
      </c>
      <c r="L15" s="10">
        <f t="shared" si="3"/>
        <v>28</v>
      </c>
      <c r="M15" s="10">
        <f t="shared" si="3"/>
        <v>36</v>
      </c>
      <c r="N15" s="10">
        <f t="shared" si="3"/>
        <v>83</v>
      </c>
      <c r="O15" s="10">
        <f t="shared" si="3"/>
        <v>69</v>
      </c>
      <c r="P15" s="10">
        <f t="shared" si="3"/>
        <v>56</v>
      </c>
      <c r="Q15" s="10">
        <f t="shared" si="3"/>
        <v>796</v>
      </c>
      <c r="R15" s="20"/>
    </row>
    <row r="16" ht="13.5" customHeight="1">
      <c r="A16" s="65">
        <f>Original!$Q$15/SUM(C15:F15,N15:O15)</f>
        <v>1.077568134</v>
      </c>
      <c r="B16" s="22" t="s">
        <v>27</v>
      </c>
      <c r="C16" s="65">
        <f t="shared" ref="C16:P16" si="4">C15/$Q$15</f>
        <v>0.1281407035</v>
      </c>
      <c r="D16" s="23">
        <f t="shared" si="4"/>
        <v>0.08668341709</v>
      </c>
      <c r="E16" s="23">
        <f t="shared" si="4"/>
        <v>0.114321608</v>
      </c>
      <c r="F16" s="23">
        <f t="shared" si="4"/>
        <v>0.07914572864</v>
      </c>
      <c r="G16" s="23">
        <f t="shared" si="4"/>
        <v>0.04271356784</v>
      </c>
      <c r="H16" s="23">
        <f t="shared" si="4"/>
        <v>0.04648241206</v>
      </c>
      <c r="I16" s="23">
        <f t="shared" si="4"/>
        <v>0.06407035176</v>
      </c>
      <c r="J16" s="23">
        <f t="shared" si="4"/>
        <v>0.0364321608</v>
      </c>
      <c r="K16" s="23">
        <f t="shared" si="4"/>
        <v>0.06030150754</v>
      </c>
      <c r="L16" s="23">
        <f t="shared" si="4"/>
        <v>0.0351758794</v>
      </c>
      <c r="M16" s="23">
        <f t="shared" si="4"/>
        <v>0.04522613065</v>
      </c>
      <c r="N16" s="23">
        <f t="shared" si="4"/>
        <v>0.1042713568</v>
      </c>
      <c r="O16" s="23">
        <f t="shared" si="4"/>
        <v>0.08668341709</v>
      </c>
      <c r="P16" s="23">
        <f t="shared" si="4"/>
        <v>0.07035175879</v>
      </c>
      <c r="Q16" s="23">
        <f>SUM(C16:P16)</f>
        <v>1</v>
      </c>
      <c r="R16" s="20"/>
    </row>
    <row r="17" ht="13.5" customHeight="1">
      <c r="A17" s="24"/>
      <c r="B17" s="24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6"/>
    </row>
    <row r="18" ht="12.0" customHeight="1">
      <c r="A18" s="27"/>
      <c r="B18" s="7" t="s">
        <v>28</v>
      </c>
    </row>
    <row r="19" ht="12.0" customHeight="1">
      <c r="A19" s="27"/>
      <c r="B19" s="8" t="s">
        <v>29</v>
      </c>
      <c r="C19" s="9">
        <v>6.0</v>
      </c>
      <c r="D19" s="9">
        <v>7.0</v>
      </c>
      <c r="E19" s="9">
        <v>8.0</v>
      </c>
      <c r="F19" s="9">
        <v>9.0</v>
      </c>
      <c r="G19" s="9">
        <v>10.0</v>
      </c>
      <c r="H19" s="9">
        <v>11.0</v>
      </c>
      <c r="I19" s="9">
        <v>12.0</v>
      </c>
      <c r="J19" s="9">
        <v>13.0</v>
      </c>
      <c r="K19" s="9">
        <v>14.0</v>
      </c>
      <c r="L19" s="9">
        <v>15.0</v>
      </c>
      <c r="M19" s="9">
        <v>16.0</v>
      </c>
      <c r="N19" s="9">
        <v>17.0</v>
      </c>
      <c r="O19" s="9">
        <v>18.0</v>
      </c>
      <c r="P19" s="9">
        <v>19.0</v>
      </c>
      <c r="Q19" s="10" t="s">
        <v>20</v>
      </c>
      <c r="R19" s="11" t="s">
        <v>21</v>
      </c>
    </row>
    <row r="20" ht="14.25" customHeight="1">
      <c r="A20" s="28"/>
      <c r="B20" s="29" t="s">
        <v>9</v>
      </c>
      <c r="C20" s="30">
        <v>5.0</v>
      </c>
      <c r="D20" s="30">
        <v>3.0</v>
      </c>
      <c r="E20" s="30">
        <v>8.0</v>
      </c>
      <c r="F20" s="30">
        <v>4.0</v>
      </c>
      <c r="G20" s="30">
        <v>1.0</v>
      </c>
      <c r="H20" s="30">
        <v>4.0</v>
      </c>
      <c r="I20" s="30">
        <v>1.0</v>
      </c>
      <c r="J20" s="30">
        <v>5.0</v>
      </c>
      <c r="K20" s="30">
        <v>7.0</v>
      </c>
      <c r="L20" s="30">
        <v>1.0</v>
      </c>
      <c r="M20" s="30">
        <v>2.0</v>
      </c>
      <c r="N20" s="30">
        <v>10.0</v>
      </c>
      <c r="O20" s="30">
        <v>2.0</v>
      </c>
      <c r="P20" s="30">
        <v>5.0</v>
      </c>
      <c r="Q20" s="10">
        <f t="shared" ref="Q20:Q32" si="5">SUM(C20:P20)</f>
        <v>58</v>
      </c>
      <c r="R20" s="11">
        <f t="shared" ref="R20:R32" si="6">Q20/$Q$15</f>
        <v>0.07286432161</v>
      </c>
    </row>
    <row r="21" ht="14.25" customHeight="1">
      <c r="A21" s="28"/>
      <c r="B21" s="31" t="s">
        <v>10</v>
      </c>
      <c r="C21" s="45">
        <v>4.0</v>
      </c>
      <c r="D21" s="45">
        <v>1.0</v>
      </c>
      <c r="E21" s="45">
        <v>0.0</v>
      </c>
      <c r="F21" s="45">
        <v>0.0</v>
      </c>
      <c r="G21" s="45">
        <v>0.0</v>
      </c>
      <c r="H21" s="45">
        <v>0.0</v>
      </c>
      <c r="I21" s="45">
        <v>10.0</v>
      </c>
      <c r="J21" s="45">
        <v>7.0</v>
      </c>
      <c r="K21" s="45">
        <v>4.0</v>
      </c>
      <c r="L21" s="45">
        <v>6.0</v>
      </c>
      <c r="M21" s="45">
        <v>1.0</v>
      </c>
      <c r="N21" s="45">
        <v>4.0</v>
      </c>
      <c r="O21" s="45">
        <v>2.0</v>
      </c>
      <c r="P21" s="45">
        <v>4.0</v>
      </c>
      <c r="Q21" s="10">
        <f t="shared" si="5"/>
        <v>43</v>
      </c>
      <c r="R21" s="11">
        <f t="shared" si="6"/>
        <v>0.0540201005</v>
      </c>
    </row>
    <row r="22" ht="14.25" customHeight="1">
      <c r="A22" s="28"/>
      <c r="B22" s="29" t="s">
        <v>11</v>
      </c>
      <c r="C22" s="30">
        <v>5.0</v>
      </c>
      <c r="D22" s="30">
        <v>10.0</v>
      </c>
      <c r="E22" s="30">
        <v>7.0</v>
      </c>
      <c r="F22" s="30">
        <v>8.0</v>
      </c>
      <c r="G22" s="30">
        <v>5.0</v>
      </c>
      <c r="H22" s="30">
        <v>7.0</v>
      </c>
      <c r="I22" s="30">
        <v>7.0</v>
      </c>
      <c r="J22" s="30">
        <v>3.0</v>
      </c>
      <c r="K22" s="30">
        <v>5.0</v>
      </c>
      <c r="L22" s="30">
        <v>4.0</v>
      </c>
      <c r="M22" s="30">
        <v>5.0</v>
      </c>
      <c r="N22" s="30">
        <v>18.0</v>
      </c>
      <c r="O22" s="30">
        <v>10.0</v>
      </c>
      <c r="P22" s="30">
        <v>18.0</v>
      </c>
      <c r="Q22" s="10">
        <f t="shared" si="5"/>
        <v>112</v>
      </c>
      <c r="R22" s="11">
        <f t="shared" si="6"/>
        <v>0.1407035176</v>
      </c>
    </row>
    <row r="23" ht="14.25" customHeight="1">
      <c r="A23" s="28"/>
      <c r="B23" s="31" t="s">
        <v>30</v>
      </c>
      <c r="C23" s="45"/>
      <c r="D23" s="60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10">
        <f t="shared" si="5"/>
        <v>0</v>
      </c>
      <c r="R23" s="11">
        <f t="shared" si="6"/>
        <v>0</v>
      </c>
    </row>
    <row r="24" ht="14.25" customHeight="1">
      <c r="A24" s="28"/>
      <c r="B24" s="29" t="s">
        <v>31</v>
      </c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10">
        <f t="shared" si="5"/>
        <v>0</v>
      </c>
      <c r="R24" s="11">
        <f t="shared" si="6"/>
        <v>0</v>
      </c>
    </row>
    <row r="25" ht="14.25" customHeight="1">
      <c r="A25" s="28"/>
      <c r="B25" s="31" t="s">
        <v>32</v>
      </c>
      <c r="C25" s="45"/>
      <c r="D25" s="60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10">
        <f t="shared" si="5"/>
        <v>0</v>
      </c>
      <c r="R25" s="11">
        <f t="shared" si="6"/>
        <v>0</v>
      </c>
    </row>
    <row r="26" ht="14.25" customHeight="1">
      <c r="A26" s="28"/>
      <c r="B26" s="29" t="s">
        <v>33</v>
      </c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10">
        <f t="shared" si="5"/>
        <v>0</v>
      </c>
      <c r="R26" s="11">
        <f t="shared" si="6"/>
        <v>0</v>
      </c>
    </row>
    <row r="27" ht="14.25" customHeight="1">
      <c r="A27" s="28"/>
      <c r="B27" s="31" t="s">
        <v>34</v>
      </c>
      <c r="C27" s="45"/>
      <c r="D27" s="61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10">
        <f t="shared" si="5"/>
        <v>0</v>
      </c>
      <c r="R27" s="11">
        <f t="shared" si="6"/>
        <v>0</v>
      </c>
    </row>
    <row r="28" ht="14.25" customHeight="1">
      <c r="A28" s="28"/>
      <c r="B28" s="32" t="s">
        <v>14</v>
      </c>
      <c r="C28" s="30"/>
      <c r="D28" s="30"/>
      <c r="E28" s="30"/>
      <c r="F28" s="30"/>
      <c r="G28" s="50"/>
      <c r="H28" s="50"/>
      <c r="I28" s="50"/>
      <c r="J28" s="50"/>
      <c r="K28" s="50"/>
      <c r="L28" s="50"/>
      <c r="M28" s="50"/>
      <c r="N28" s="30"/>
      <c r="O28" s="30"/>
      <c r="P28" s="50"/>
      <c r="Q28" s="10">
        <f t="shared" si="5"/>
        <v>0</v>
      </c>
      <c r="R28" s="11">
        <f t="shared" si="6"/>
        <v>0</v>
      </c>
    </row>
    <row r="29" ht="14.25" customHeight="1">
      <c r="A29" s="27"/>
      <c r="B29" s="31" t="s">
        <v>35</v>
      </c>
      <c r="C29" s="45"/>
      <c r="D29" s="60"/>
      <c r="E29" s="45"/>
      <c r="F29" s="45"/>
      <c r="G29" s="46"/>
      <c r="H29" s="46"/>
      <c r="I29" s="46"/>
      <c r="J29" s="46"/>
      <c r="K29" s="46"/>
      <c r="L29" s="46"/>
      <c r="M29" s="46"/>
      <c r="N29" s="45"/>
      <c r="O29" s="45"/>
      <c r="P29" s="46"/>
      <c r="Q29" s="10">
        <f t="shared" si="5"/>
        <v>0</v>
      </c>
      <c r="R29" s="11">
        <f t="shared" si="6"/>
        <v>0</v>
      </c>
    </row>
    <row r="30" ht="14.25" customHeight="1">
      <c r="A30" s="27"/>
      <c r="B30" s="29" t="s">
        <v>15</v>
      </c>
      <c r="C30" s="30"/>
      <c r="D30" s="62"/>
      <c r="E30" s="30"/>
      <c r="F30" s="30"/>
      <c r="G30" s="51"/>
      <c r="H30" s="51"/>
      <c r="I30" s="51"/>
      <c r="J30" s="51"/>
      <c r="K30" s="51"/>
      <c r="L30" s="51"/>
      <c r="M30" s="51"/>
      <c r="N30" s="30"/>
      <c r="O30" s="30"/>
      <c r="P30" s="51"/>
      <c r="Q30" s="9">
        <f t="shared" si="5"/>
        <v>0</v>
      </c>
      <c r="R30" s="11">
        <f t="shared" si="6"/>
        <v>0</v>
      </c>
    </row>
    <row r="31" ht="14.25" customHeight="1">
      <c r="A31" s="27"/>
      <c r="B31" s="31" t="s">
        <v>36</v>
      </c>
      <c r="C31" s="45"/>
      <c r="D31" s="45"/>
      <c r="E31" s="45"/>
      <c r="F31" s="45"/>
      <c r="G31" s="47"/>
      <c r="H31" s="47"/>
      <c r="I31" s="47"/>
      <c r="J31" s="47"/>
      <c r="K31" s="47"/>
      <c r="L31" s="47"/>
      <c r="M31" s="47"/>
      <c r="N31" s="45"/>
      <c r="O31" s="45"/>
      <c r="P31" s="47"/>
      <c r="Q31" s="10">
        <f t="shared" si="5"/>
        <v>0</v>
      </c>
      <c r="R31" s="11">
        <f t="shared" si="6"/>
        <v>0</v>
      </c>
    </row>
    <row r="32" ht="14.25" customHeight="1">
      <c r="A32" s="28"/>
      <c r="B32" s="29" t="s">
        <v>16</v>
      </c>
      <c r="C32" s="30"/>
      <c r="D32" s="30"/>
      <c r="E32" s="30"/>
      <c r="F32" s="30"/>
      <c r="G32" s="51"/>
      <c r="H32" s="51"/>
      <c r="I32" s="51"/>
      <c r="J32" s="51"/>
      <c r="K32" s="51"/>
      <c r="L32" s="51"/>
      <c r="M32" s="51"/>
      <c r="N32" s="30"/>
      <c r="O32" s="30"/>
      <c r="P32" s="51"/>
      <c r="Q32" s="10">
        <f t="shared" si="5"/>
        <v>0</v>
      </c>
      <c r="R32" s="11">
        <f t="shared" si="6"/>
        <v>0</v>
      </c>
    </row>
    <row r="33" ht="14.25" customHeight="1">
      <c r="A33" s="28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28"/>
      <c r="R33" s="38"/>
    </row>
    <row r="34" ht="14.25" customHeight="1">
      <c r="A34" s="39"/>
      <c r="B34" s="40"/>
      <c r="C34" s="41"/>
      <c r="D34" s="42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2"/>
      <c r="R34" s="43"/>
    </row>
    <row r="35" ht="14.25" customHeight="1">
      <c r="A35" s="28"/>
      <c r="B35" s="7" t="s">
        <v>37</v>
      </c>
    </row>
    <row r="36" ht="14.25" customHeight="1">
      <c r="A36" s="28"/>
      <c r="B36" s="8" t="s">
        <v>29</v>
      </c>
      <c r="C36" s="9">
        <v>6.0</v>
      </c>
      <c r="D36" s="10">
        <v>7.0</v>
      </c>
      <c r="E36" s="9">
        <v>8.0</v>
      </c>
      <c r="F36" s="9">
        <v>9.0</v>
      </c>
      <c r="G36" s="9">
        <v>10.0</v>
      </c>
      <c r="H36" s="9">
        <v>11.0</v>
      </c>
      <c r="I36" s="9">
        <v>12.0</v>
      </c>
      <c r="J36" s="9">
        <v>13.0</v>
      </c>
      <c r="K36" s="9">
        <v>14.0</v>
      </c>
      <c r="L36" s="9">
        <v>15.0</v>
      </c>
      <c r="M36" s="9">
        <v>16.0</v>
      </c>
      <c r="N36" s="9">
        <v>17.0</v>
      </c>
      <c r="O36" s="9">
        <v>18.0</v>
      </c>
      <c r="P36" s="9">
        <v>19.0</v>
      </c>
      <c r="Q36" s="10" t="s">
        <v>20</v>
      </c>
      <c r="R36" s="11" t="s">
        <v>21</v>
      </c>
    </row>
    <row r="37" ht="14.25" customHeight="1">
      <c r="A37" s="28"/>
      <c r="B37" s="29" t="s">
        <v>38</v>
      </c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10">
        <f t="shared" ref="Q37:Q55" si="7">SUM(C37:P37)</f>
        <v>0</v>
      </c>
      <c r="R37" s="11">
        <f t="shared" ref="R37:R55" si="8">Q37/$Q$15</f>
        <v>0</v>
      </c>
    </row>
    <row r="38" ht="14.25" customHeight="1">
      <c r="A38" s="28"/>
      <c r="B38" s="31" t="s">
        <v>39</v>
      </c>
      <c r="C38" s="45">
        <v>1.0</v>
      </c>
      <c r="D38" s="46"/>
      <c r="E38" s="47"/>
      <c r="F38" s="47"/>
      <c r="G38" s="47"/>
      <c r="H38" s="48"/>
      <c r="I38" s="48"/>
      <c r="J38" s="48"/>
      <c r="K38" s="48"/>
      <c r="L38" s="47"/>
      <c r="M38" s="48"/>
      <c r="N38" s="47"/>
      <c r="O38" s="48"/>
      <c r="P38" s="48"/>
      <c r="Q38" s="10">
        <f t="shared" si="7"/>
        <v>1</v>
      </c>
      <c r="R38" s="11">
        <f t="shared" si="8"/>
        <v>0.001256281407</v>
      </c>
    </row>
    <row r="39" ht="14.25" customHeight="1">
      <c r="A39" s="28"/>
      <c r="B39" s="29" t="s">
        <v>40</v>
      </c>
      <c r="C39" s="49">
        <v>1.0</v>
      </c>
      <c r="D39" s="50"/>
      <c r="E39" s="44"/>
      <c r="F39" s="44"/>
      <c r="G39" s="44"/>
      <c r="H39" s="44"/>
      <c r="I39" s="44"/>
      <c r="J39" s="44"/>
      <c r="K39" s="51"/>
      <c r="L39" s="44"/>
      <c r="M39" s="51"/>
      <c r="N39" s="52"/>
      <c r="O39" s="51"/>
      <c r="P39" s="51"/>
      <c r="Q39" s="10">
        <f t="shared" si="7"/>
        <v>1</v>
      </c>
      <c r="R39" s="11">
        <f t="shared" si="8"/>
        <v>0.001256281407</v>
      </c>
    </row>
    <row r="40" ht="14.25" customHeight="1">
      <c r="A40" s="28"/>
      <c r="B40" s="31" t="s">
        <v>41</v>
      </c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10">
        <f t="shared" si="7"/>
        <v>0</v>
      </c>
      <c r="R40" s="11">
        <f t="shared" si="8"/>
        <v>0</v>
      </c>
    </row>
    <row r="41" ht="14.25" customHeight="1">
      <c r="A41" s="28"/>
      <c r="B41" s="29" t="s">
        <v>42</v>
      </c>
      <c r="C41" s="30">
        <v>3.0</v>
      </c>
      <c r="D41" s="51"/>
      <c r="E41" s="51"/>
      <c r="F41" s="30">
        <v>2.0</v>
      </c>
      <c r="G41" s="51"/>
      <c r="H41" s="51"/>
      <c r="I41" s="44"/>
      <c r="J41" s="51"/>
      <c r="K41" s="51"/>
      <c r="L41" s="44"/>
      <c r="M41" s="44"/>
      <c r="N41" s="44"/>
      <c r="O41" s="51"/>
      <c r="P41" s="51"/>
      <c r="Q41" s="10">
        <f t="shared" si="7"/>
        <v>5</v>
      </c>
      <c r="R41" s="11">
        <f t="shared" si="8"/>
        <v>0.006281407035</v>
      </c>
    </row>
    <row r="42" ht="14.25" customHeight="1">
      <c r="A42" s="28"/>
      <c r="B42" s="31" t="s">
        <v>43</v>
      </c>
      <c r="C42" s="48"/>
      <c r="D42" s="48"/>
      <c r="E42" s="47"/>
      <c r="F42" s="48"/>
      <c r="G42" s="48"/>
      <c r="H42" s="48"/>
      <c r="I42" s="48"/>
      <c r="J42" s="48"/>
      <c r="K42" s="48"/>
      <c r="L42" s="47"/>
      <c r="M42" s="53"/>
      <c r="N42" s="47"/>
      <c r="O42" s="48"/>
      <c r="P42" s="47"/>
      <c r="Q42" s="10">
        <f t="shared" si="7"/>
        <v>0</v>
      </c>
      <c r="R42" s="11">
        <f t="shared" si="8"/>
        <v>0</v>
      </c>
    </row>
    <row r="43" ht="14.25" customHeight="1">
      <c r="A43" s="28"/>
      <c r="B43" s="29" t="s">
        <v>44</v>
      </c>
      <c r="C43" s="44"/>
      <c r="D43" s="51"/>
      <c r="E43" s="44"/>
      <c r="F43" s="44"/>
      <c r="G43" s="44"/>
      <c r="H43" s="44"/>
      <c r="I43" s="44"/>
      <c r="J43" s="44"/>
      <c r="K43" s="44"/>
      <c r="L43" s="44"/>
      <c r="M43" s="44"/>
      <c r="N43" s="54"/>
      <c r="O43" s="44"/>
      <c r="P43" s="44"/>
      <c r="Q43" s="10">
        <f t="shared" si="7"/>
        <v>0</v>
      </c>
      <c r="R43" s="11">
        <f t="shared" si="8"/>
        <v>0</v>
      </c>
    </row>
    <row r="44" ht="14.25" customHeight="1">
      <c r="A44" s="28"/>
      <c r="B44" s="31" t="s">
        <v>45</v>
      </c>
      <c r="C44" s="48"/>
      <c r="D44" s="47"/>
      <c r="E44" s="48"/>
      <c r="F44" s="47"/>
      <c r="G44" s="48"/>
      <c r="H44" s="47"/>
      <c r="I44" s="47"/>
      <c r="J44" s="47"/>
      <c r="K44" s="48"/>
      <c r="L44" s="47"/>
      <c r="M44" s="55"/>
      <c r="N44" s="47"/>
      <c r="O44" s="48"/>
      <c r="P44" s="48"/>
      <c r="Q44" s="10">
        <f t="shared" si="7"/>
        <v>0</v>
      </c>
      <c r="R44" s="11">
        <f t="shared" si="8"/>
        <v>0</v>
      </c>
    </row>
    <row r="45" ht="14.25" customHeight="1">
      <c r="A45" s="28"/>
      <c r="B45" s="29" t="s">
        <v>46</v>
      </c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54"/>
      <c r="N45" s="44"/>
      <c r="O45" s="44"/>
      <c r="P45" s="44"/>
      <c r="Q45" s="10">
        <f t="shared" si="7"/>
        <v>0</v>
      </c>
      <c r="R45" s="11">
        <f t="shared" si="8"/>
        <v>0</v>
      </c>
    </row>
    <row r="46" ht="14.25" customHeight="1">
      <c r="A46" s="28"/>
      <c r="B46" s="31" t="s">
        <v>47</v>
      </c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53"/>
      <c r="N46" s="48"/>
      <c r="O46" s="48"/>
      <c r="P46" s="48"/>
      <c r="Q46" s="10">
        <f t="shared" si="7"/>
        <v>0</v>
      </c>
      <c r="R46" s="11">
        <f t="shared" si="8"/>
        <v>0</v>
      </c>
    </row>
    <row r="47" ht="14.25" customHeight="1">
      <c r="A47" s="28"/>
      <c r="B47" s="29" t="s">
        <v>48</v>
      </c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54"/>
      <c r="N47" s="44"/>
      <c r="O47" s="44"/>
      <c r="P47" s="44"/>
      <c r="Q47" s="10">
        <f t="shared" si="7"/>
        <v>0</v>
      </c>
      <c r="R47" s="11">
        <f t="shared" si="8"/>
        <v>0</v>
      </c>
    </row>
    <row r="48" ht="14.25" customHeight="1">
      <c r="A48" s="27"/>
      <c r="B48" s="31" t="s">
        <v>49</v>
      </c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53"/>
      <c r="N48" s="48"/>
      <c r="O48" s="48"/>
      <c r="P48" s="48"/>
      <c r="Q48" s="10">
        <f t="shared" si="7"/>
        <v>0</v>
      </c>
      <c r="R48" s="11">
        <f t="shared" si="8"/>
        <v>0</v>
      </c>
    </row>
    <row r="49" ht="14.25" customHeight="1">
      <c r="A49" s="28"/>
      <c r="B49" s="29" t="s">
        <v>50</v>
      </c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54"/>
      <c r="N49" s="44"/>
      <c r="O49" s="44"/>
      <c r="P49" s="44"/>
      <c r="Q49" s="10">
        <f t="shared" si="7"/>
        <v>0</v>
      </c>
      <c r="R49" s="11">
        <f t="shared" si="8"/>
        <v>0</v>
      </c>
    </row>
    <row r="50" ht="14.25" customHeight="1">
      <c r="A50" s="28"/>
      <c r="B50" s="31" t="s">
        <v>51</v>
      </c>
      <c r="C50" s="48"/>
      <c r="D50" s="48"/>
      <c r="E50" s="48"/>
      <c r="F50" s="48"/>
      <c r="G50" s="48"/>
      <c r="H50" s="47"/>
      <c r="I50" s="48"/>
      <c r="J50" s="48"/>
      <c r="K50" s="48"/>
      <c r="L50" s="48"/>
      <c r="M50" s="46"/>
      <c r="N50" s="48"/>
      <c r="O50" s="48"/>
      <c r="P50" s="48"/>
      <c r="Q50" s="10">
        <f t="shared" si="7"/>
        <v>0</v>
      </c>
      <c r="R50" s="11">
        <f t="shared" si="8"/>
        <v>0</v>
      </c>
    </row>
    <row r="51" ht="14.25" customHeight="1">
      <c r="A51" s="27"/>
      <c r="B51" s="29" t="s">
        <v>12</v>
      </c>
      <c r="C51" s="51">
        <f t="shared" ref="C51:P51" si="9">SUM(C23:C25)</f>
        <v>0</v>
      </c>
      <c r="D51" s="51">
        <f t="shared" si="9"/>
        <v>0</v>
      </c>
      <c r="E51" s="51">
        <f t="shared" si="9"/>
        <v>0</v>
      </c>
      <c r="F51" s="51">
        <f t="shared" si="9"/>
        <v>0</v>
      </c>
      <c r="G51" s="51">
        <f t="shared" si="9"/>
        <v>0</v>
      </c>
      <c r="H51" s="51">
        <f t="shared" si="9"/>
        <v>0</v>
      </c>
      <c r="I51" s="51">
        <f t="shared" si="9"/>
        <v>0</v>
      </c>
      <c r="J51" s="51">
        <f t="shared" si="9"/>
        <v>0</v>
      </c>
      <c r="K51" s="51">
        <f t="shared" si="9"/>
        <v>0</v>
      </c>
      <c r="L51" s="51">
        <f t="shared" si="9"/>
        <v>0</v>
      </c>
      <c r="M51" s="51">
        <f t="shared" si="9"/>
        <v>0</v>
      </c>
      <c r="N51" s="51">
        <f t="shared" si="9"/>
        <v>0</v>
      </c>
      <c r="O51" s="51">
        <f t="shared" si="9"/>
        <v>0</v>
      </c>
      <c r="P51" s="51">
        <f t="shared" si="9"/>
        <v>0</v>
      </c>
      <c r="Q51" s="10">
        <f t="shared" si="7"/>
        <v>0</v>
      </c>
      <c r="R51" s="11">
        <f t="shared" si="8"/>
        <v>0</v>
      </c>
    </row>
    <row r="52" ht="14.25" customHeight="1">
      <c r="A52" s="27"/>
      <c r="B52" s="31" t="s">
        <v>13</v>
      </c>
      <c r="C52" s="47">
        <f t="shared" ref="C52:P52" si="10">SUM(C26:C27)</f>
        <v>0</v>
      </c>
      <c r="D52" s="47">
        <f t="shared" si="10"/>
        <v>0</v>
      </c>
      <c r="E52" s="47">
        <f t="shared" si="10"/>
        <v>0</v>
      </c>
      <c r="F52" s="47">
        <f t="shared" si="10"/>
        <v>0</v>
      </c>
      <c r="G52" s="47">
        <f t="shared" si="10"/>
        <v>0</v>
      </c>
      <c r="H52" s="47">
        <f t="shared" si="10"/>
        <v>0</v>
      </c>
      <c r="I52" s="47">
        <f t="shared" si="10"/>
        <v>0</v>
      </c>
      <c r="J52" s="47">
        <f t="shared" si="10"/>
        <v>0</v>
      </c>
      <c r="K52" s="47">
        <f t="shared" si="10"/>
        <v>0</v>
      </c>
      <c r="L52" s="47">
        <f t="shared" si="10"/>
        <v>0</v>
      </c>
      <c r="M52" s="47">
        <f t="shared" si="10"/>
        <v>0</v>
      </c>
      <c r="N52" s="47">
        <f t="shared" si="10"/>
        <v>0</v>
      </c>
      <c r="O52" s="47">
        <f t="shared" si="10"/>
        <v>0</v>
      </c>
      <c r="P52" s="47">
        <f t="shared" si="10"/>
        <v>0</v>
      </c>
      <c r="Q52" s="10">
        <f t="shared" si="7"/>
        <v>0</v>
      </c>
      <c r="R52" s="11">
        <f t="shared" si="8"/>
        <v>0</v>
      </c>
    </row>
    <row r="53" ht="14.25" customHeight="1">
      <c r="A53" s="27"/>
      <c r="B53" s="29" t="s">
        <v>14</v>
      </c>
      <c r="C53" s="51">
        <f t="shared" ref="C53:P53" si="11">SUM(C28:C29)</f>
        <v>0</v>
      </c>
      <c r="D53" s="51">
        <f t="shared" si="11"/>
        <v>0</v>
      </c>
      <c r="E53" s="51">
        <f t="shared" si="11"/>
        <v>0</v>
      </c>
      <c r="F53" s="51">
        <f t="shared" si="11"/>
        <v>0</v>
      </c>
      <c r="G53" s="51">
        <f t="shared" si="11"/>
        <v>0</v>
      </c>
      <c r="H53" s="51">
        <f t="shared" si="11"/>
        <v>0</v>
      </c>
      <c r="I53" s="51">
        <f t="shared" si="11"/>
        <v>0</v>
      </c>
      <c r="J53" s="51">
        <f t="shared" si="11"/>
        <v>0</v>
      </c>
      <c r="K53" s="51">
        <f t="shared" si="11"/>
        <v>0</v>
      </c>
      <c r="L53" s="51">
        <f t="shared" si="11"/>
        <v>0</v>
      </c>
      <c r="M53" s="51">
        <f t="shared" si="11"/>
        <v>0</v>
      </c>
      <c r="N53" s="51">
        <f t="shared" si="11"/>
        <v>0</v>
      </c>
      <c r="O53" s="51">
        <f t="shared" si="11"/>
        <v>0</v>
      </c>
      <c r="P53" s="51">
        <f t="shared" si="11"/>
        <v>0</v>
      </c>
      <c r="Q53" s="10">
        <f t="shared" si="7"/>
        <v>0</v>
      </c>
      <c r="R53" s="11">
        <f t="shared" si="8"/>
        <v>0</v>
      </c>
    </row>
    <row r="54" ht="14.25" customHeight="1">
      <c r="A54" s="27"/>
      <c r="B54" s="31" t="s">
        <v>15</v>
      </c>
      <c r="C54" s="47">
        <f t="shared" ref="C54:P54" si="12">SUM(C30:C31)</f>
        <v>0</v>
      </c>
      <c r="D54" s="47">
        <f t="shared" si="12"/>
        <v>0</v>
      </c>
      <c r="E54" s="47">
        <f t="shared" si="12"/>
        <v>0</v>
      </c>
      <c r="F54" s="47">
        <f t="shared" si="12"/>
        <v>0</v>
      </c>
      <c r="G54" s="47">
        <f t="shared" si="12"/>
        <v>0</v>
      </c>
      <c r="H54" s="47">
        <f t="shared" si="12"/>
        <v>0</v>
      </c>
      <c r="I54" s="47">
        <f t="shared" si="12"/>
        <v>0</v>
      </c>
      <c r="J54" s="47">
        <f t="shared" si="12"/>
        <v>0</v>
      </c>
      <c r="K54" s="47">
        <f t="shared" si="12"/>
        <v>0</v>
      </c>
      <c r="L54" s="47">
        <f t="shared" si="12"/>
        <v>0</v>
      </c>
      <c r="M54" s="47">
        <f t="shared" si="12"/>
        <v>0</v>
      </c>
      <c r="N54" s="47">
        <f t="shared" si="12"/>
        <v>0</v>
      </c>
      <c r="O54" s="47">
        <f t="shared" si="12"/>
        <v>0</v>
      </c>
      <c r="P54" s="47">
        <f t="shared" si="12"/>
        <v>0</v>
      </c>
      <c r="Q54" s="10">
        <f t="shared" si="7"/>
        <v>0</v>
      </c>
      <c r="R54" s="11">
        <f t="shared" si="8"/>
        <v>0</v>
      </c>
    </row>
    <row r="55" ht="14.25" customHeight="1">
      <c r="A55" s="27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9">
        <f t="shared" si="7"/>
        <v>0</v>
      </c>
      <c r="R55" s="11">
        <f t="shared" si="8"/>
        <v>0</v>
      </c>
    </row>
    <row r="56" ht="14.25" customHeight="1">
      <c r="A56" s="2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27"/>
      <c r="R56" s="20"/>
    </row>
  </sheetData>
  <mergeCells count="3">
    <mergeCell ref="A1:R1"/>
    <mergeCell ref="B18:R18"/>
    <mergeCell ref="B35:R35"/>
  </mergeCell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66" t="str">
        <f>Fluxo!A2</f>
        <v>TOTAL</v>
      </c>
      <c r="F1" s="66">
        <v>2.0</v>
      </c>
      <c r="G1" t="str">
        <f t="array" ref="G1:G18">TRANSPOSE(Dados!2:2)</f>
        <v>ORIGEM</v>
      </c>
    </row>
    <row r="2">
      <c r="F2" s="66">
        <v>3.0</v>
      </c>
      <c r="G2" t="s">
        <v>19</v>
      </c>
    </row>
    <row r="3">
      <c r="A3" t="str">
        <f>Dados!A3</f>
        <v>Rosarinho</v>
      </c>
      <c r="B3" t="str">
        <f>Dados!B3</f>
        <v>Jaqueira</v>
      </c>
      <c r="F3" s="66">
        <v>4.0</v>
      </c>
      <c r="G3">
        <v>6.0</v>
      </c>
      <c r="Q3">
        <f>HLOOKUP($A$1,Dados!$C$2:$R$14,F1,0)</f>
        <v>30</v>
      </c>
    </row>
    <row r="4">
      <c r="A4" t="str">
        <f>Dados!A4</f>
        <v>Rosarinho</v>
      </c>
      <c r="B4" t="str">
        <f>Dados!B4</f>
        <v>Torre</v>
      </c>
      <c r="F4" s="66">
        <v>5.0</v>
      </c>
      <c r="G4">
        <v>7.0</v>
      </c>
      <c r="Q4">
        <f>HLOOKUP($A$1,Dados!$C$2:$R$14,F2,0)</f>
        <v>0</v>
      </c>
    </row>
    <row r="5">
      <c r="A5" t="str">
        <f>Dados!A5</f>
        <v>Rosarinho</v>
      </c>
      <c r="B5" t="str">
        <f>Dados!B5</f>
        <v>Graças</v>
      </c>
      <c r="F5" s="66">
        <v>6.0</v>
      </c>
      <c r="G5">
        <v>8.0</v>
      </c>
      <c r="Q5">
        <f>HLOOKUP($A$1,Dados!$C$2:$R$14,F3,0)</f>
        <v>124</v>
      </c>
    </row>
    <row r="6">
      <c r="A6" t="str">
        <f>Dados!A6</f>
        <v>Graças</v>
      </c>
      <c r="B6" t="str">
        <f>Dados!B6</f>
        <v>Rosarinho</v>
      </c>
      <c r="F6" s="66">
        <v>7.0</v>
      </c>
      <c r="G6">
        <v>9.0</v>
      </c>
      <c r="Q6">
        <f>HLOOKUP($A$1,Dados!$C$2:$R$14,F4,0)</f>
        <v>38</v>
      </c>
    </row>
    <row r="7">
      <c r="A7" t="str">
        <f>Dados!A7</f>
        <v>Graças</v>
      </c>
      <c r="B7" t="str">
        <f>Dados!B7</f>
        <v>Jaqueira</v>
      </c>
      <c r="F7" s="66">
        <v>8.0</v>
      </c>
      <c r="G7">
        <v>10.0</v>
      </c>
      <c r="Q7">
        <f>HLOOKUP($A$1,Dados!$C$2:$R$14,F5,0)</f>
        <v>162</v>
      </c>
    </row>
    <row r="8">
      <c r="A8" t="str">
        <f>Dados!A8</f>
        <v>Graças</v>
      </c>
      <c r="B8" t="str">
        <f>Dados!B8</f>
        <v>Torre</v>
      </c>
      <c r="F8" s="66">
        <v>9.0</v>
      </c>
      <c r="G8">
        <v>11.0</v>
      </c>
      <c r="Q8">
        <f>HLOOKUP($A$1,Dados!$C$2:$R$14,F6,0)</f>
        <v>0</v>
      </c>
    </row>
    <row r="9">
      <c r="A9" t="str">
        <f>Dados!A9</f>
        <v>Torre</v>
      </c>
      <c r="B9" t="str">
        <f>Dados!B9</f>
        <v>Graças</v>
      </c>
      <c r="F9" s="66">
        <v>10.0</v>
      </c>
      <c r="G9">
        <v>12.0</v>
      </c>
      <c r="Q9">
        <f>HLOOKUP($A$1,Dados!$C$2:$R$14,F7,0)</f>
        <v>0</v>
      </c>
    </row>
    <row r="10">
      <c r="A10" t="str">
        <f>Dados!A10</f>
        <v>Torre </v>
      </c>
      <c r="B10" t="str">
        <f>Dados!B10</f>
        <v>Rosarinho</v>
      </c>
      <c r="F10" s="66">
        <v>11.0</v>
      </c>
      <c r="G10">
        <v>13.0</v>
      </c>
      <c r="Q10">
        <f>HLOOKUP($A$1,Dados!$C$2:$R$14,F8,0)</f>
        <v>0</v>
      </c>
    </row>
    <row r="11">
      <c r="A11" t="str">
        <f>Dados!A11</f>
        <v>Torre</v>
      </c>
      <c r="B11" t="str">
        <f>Dados!B11</f>
        <v>Jaqueira</v>
      </c>
      <c r="F11" s="66">
        <v>12.0</v>
      </c>
      <c r="G11">
        <v>14.0</v>
      </c>
      <c r="Q11">
        <f>HLOOKUP($A$1,Dados!$C$2:$R$14,F9,0)</f>
        <v>0</v>
      </c>
    </row>
    <row r="12">
      <c r="A12" t="str">
        <f>Dados!A12</f>
        <v>Jaqueira</v>
      </c>
      <c r="B12" t="str">
        <f>Dados!B12</f>
        <v>Torre</v>
      </c>
      <c r="F12" s="66">
        <v>13.0</v>
      </c>
      <c r="G12">
        <v>15.0</v>
      </c>
      <c r="Q12">
        <f>HLOOKUP($A$1,Dados!$C$2:$R$14,F10,0)</f>
        <v>0</v>
      </c>
    </row>
    <row r="13">
      <c r="A13" t="str">
        <f>Dados!A13</f>
        <v>Jaqueira</v>
      </c>
      <c r="B13" t="str">
        <f>Dados!B13</f>
        <v>Graças</v>
      </c>
      <c r="G13">
        <v>16.0</v>
      </c>
      <c r="Q13">
        <f>HLOOKUP($A$1,Dados!$C$2:$R$14,F11,0)</f>
        <v>454</v>
      </c>
    </row>
    <row r="14">
      <c r="A14" t="str">
        <f>Dados!A14</f>
        <v>Jaqueira</v>
      </c>
      <c r="B14" t="str">
        <f>Dados!B14</f>
        <v>Rosarinho</v>
      </c>
      <c r="G14">
        <v>17.0</v>
      </c>
      <c r="Q14">
        <f>HLOOKUP($A$1,Dados!$C$2:$R$14,F12,0)</f>
        <v>45</v>
      </c>
    </row>
    <row r="15">
      <c r="G15">
        <v>18.0</v>
      </c>
    </row>
    <row r="16">
      <c r="G16">
        <v>19.0</v>
      </c>
    </row>
    <row r="17">
      <c r="G17" t="s">
        <v>20</v>
      </c>
    </row>
    <row r="18">
      <c r="G18" s="67" t="s">
        <v>21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68" t="s">
        <v>53</v>
      </c>
    </row>
    <row r="2">
      <c r="A2" s="69" t="s">
        <v>54</v>
      </c>
      <c r="B2" s="70">
        <f>Dados!C2</f>
        <v>6</v>
      </c>
      <c r="C2" s="70">
        <f>Dados!D2</f>
        <v>7</v>
      </c>
      <c r="D2" s="70">
        <f>Dados!E2</f>
        <v>8</v>
      </c>
      <c r="E2" s="70">
        <f>Dados!F2</f>
        <v>9</v>
      </c>
      <c r="F2" s="70">
        <f>Dados!G2</f>
        <v>10</v>
      </c>
      <c r="G2" s="70">
        <f>Dados!H2</f>
        <v>11</v>
      </c>
      <c r="H2" s="70">
        <f>Dados!I2</f>
        <v>12</v>
      </c>
      <c r="I2" s="70">
        <f>Dados!J2</f>
        <v>13</v>
      </c>
      <c r="J2" s="70">
        <f>Dados!K2</f>
        <v>14</v>
      </c>
      <c r="K2" s="70">
        <f>Dados!L2</f>
        <v>15</v>
      </c>
      <c r="L2" s="70">
        <f>Dados!M2</f>
        <v>16</v>
      </c>
      <c r="M2" s="70">
        <f>Dados!N2</f>
        <v>17</v>
      </c>
      <c r="N2" s="70">
        <f>Dados!O2</f>
        <v>18</v>
      </c>
      <c r="O2" s="70">
        <f>Dados!P2</f>
        <v>19</v>
      </c>
    </row>
    <row r="3">
      <c r="A3" s="71" t="s">
        <v>55</v>
      </c>
      <c r="B3" s="72">
        <f>Dados!C15-B4-B5</f>
        <v>86</v>
      </c>
      <c r="C3" s="72">
        <f>Dados!D15-C4-C5</f>
        <v>88</v>
      </c>
      <c r="D3" s="72">
        <f>Dados!E15-D4-D5</f>
        <v>61</v>
      </c>
      <c r="E3" s="72">
        <f>Dados!F15-E4-E5</f>
        <v>35</v>
      </c>
      <c r="F3" s="72">
        <f>Dados!G15-F4-F5</f>
        <v>35</v>
      </c>
      <c r="G3" s="72">
        <f>Dados!H15-G4-G5</f>
        <v>35</v>
      </c>
      <c r="H3" s="72">
        <f>Dados!I15-H4-H5</f>
        <v>43</v>
      </c>
      <c r="I3" s="72">
        <f>Dados!J15-I4-I5</f>
        <v>17</v>
      </c>
      <c r="J3" s="72">
        <f>Dados!K15-J4-J5</f>
        <v>40</v>
      </c>
      <c r="K3" s="72">
        <f>Dados!L15-K4-K5</f>
        <v>22</v>
      </c>
      <c r="L3" s="72">
        <f>Dados!M15-L4-L5</f>
        <v>36</v>
      </c>
      <c r="M3" s="72">
        <f>Dados!N15-M4-M5</f>
        <v>118</v>
      </c>
      <c r="N3" s="72">
        <f>Dados!O15-N4-N5</f>
        <v>73</v>
      </c>
      <c r="O3" s="72">
        <f>Dados!P15-O4-O5</f>
        <v>50</v>
      </c>
    </row>
    <row r="4">
      <c r="A4" s="69" t="s">
        <v>56</v>
      </c>
      <c r="B4" s="70">
        <f>Dados!C20</f>
        <v>5</v>
      </c>
      <c r="C4" s="70">
        <f>Dados!D20</f>
        <v>12</v>
      </c>
      <c r="D4" s="70">
        <f>Dados!E20</f>
        <v>8</v>
      </c>
      <c r="E4" s="70">
        <f>Dados!F20</f>
        <v>8</v>
      </c>
      <c r="F4" s="70">
        <f>Dados!G20</f>
        <v>1</v>
      </c>
      <c r="G4" s="70">
        <f>Dados!H20</f>
        <v>4</v>
      </c>
      <c r="H4" s="70">
        <f>Dados!I20</f>
        <v>1</v>
      </c>
      <c r="I4" s="70">
        <f>Dados!J20</f>
        <v>5</v>
      </c>
      <c r="J4" s="73">
        <f>Dados!K20</f>
        <v>8</v>
      </c>
      <c r="K4" s="70">
        <f>Dados!L20</f>
        <v>1</v>
      </c>
      <c r="L4" s="70">
        <f>Dados!M20</f>
        <v>2</v>
      </c>
      <c r="M4" s="70">
        <f>Dados!N20</f>
        <v>5</v>
      </c>
      <c r="N4" s="70">
        <f>Dados!O20</f>
        <v>10</v>
      </c>
      <c r="O4" s="70">
        <f>Dados!P20</f>
        <v>5</v>
      </c>
    </row>
    <row r="5">
      <c r="A5" s="71" t="s">
        <v>10</v>
      </c>
      <c r="B5" s="74">
        <f>Dados!C21</f>
        <v>5</v>
      </c>
      <c r="C5" s="74">
        <f>Dados!D21</f>
        <v>0</v>
      </c>
      <c r="D5" s="74">
        <f>Dados!E21</f>
        <v>0</v>
      </c>
      <c r="E5" s="74">
        <f>Dados!F21</f>
        <v>0</v>
      </c>
      <c r="F5" s="74">
        <f>Dados!G21</f>
        <v>0</v>
      </c>
      <c r="G5" s="74">
        <f>Dados!H21</f>
        <v>0</v>
      </c>
      <c r="H5" s="74">
        <f>Dados!I21</f>
        <v>11</v>
      </c>
      <c r="I5" s="74">
        <f>Dados!J21</f>
        <v>8</v>
      </c>
      <c r="J5" s="74">
        <f>Dados!K21</f>
        <v>4</v>
      </c>
      <c r="K5" s="74">
        <f>Dados!L21</f>
        <v>6</v>
      </c>
      <c r="L5" s="74">
        <f>Dados!M21</f>
        <v>1</v>
      </c>
      <c r="M5" s="74">
        <f>Dados!N21</f>
        <v>0</v>
      </c>
      <c r="N5" s="74">
        <f>Dados!O21</f>
        <v>0</v>
      </c>
      <c r="O5" s="74">
        <f>Dados!P21</f>
        <v>4</v>
      </c>
    </row>
    <row r="7">
      <c r="A7" s="75" t="s">
        <v>57</v>
      </c>
    </row>
    <row r="8">
      <c r="A8" s="76" t="s">
        <v>58</v>
      </c>
      <c r="B8" s="70">
        <v>6.0</v>
      </c>
      <c r="C8" s="70">
        <v>7.0</v>
      </c>
      <c r="D8" s="70">
        <v>8.0</v>
      </c>
      <c r="E8" s="70">
        <v>9.0</v>
      </c>
      <c r="F8" s="70">
        <v>10.0</v>
      </c>
      <c r="G8" s="70">
        <v>11.0</v>
      </c>
      <c r="H8" s="70">
        <v>12.0</v>
      </c>
      <c r="I8" s="70">
        <v>13.0</v>
      </c>
      <c r="J8" s="70">
        <v>14.0</v>
      </c>
      <c r="K8" s="70">
        <v>15.0</v>
      </c>
      <c r="L8" s="70">
        <v>16.0</v>
      </c>
      <c r="M8" s="70">
        <v>17.0</v>
      </c>
      <c r="N8" s="70">
        <v>18.0</v>
      </c>
      <c r="O8" s="70">
        <v>19.0</v>
      </c>
    </row>
    <row r="9">
      <c r="A9" s="77" t="s">
        <v>56</v>
      </c>
      <c r="B9" s="78">
        <f>B4/Dados!C$15</f>
        <v>0.05208333333</v>
      </c>
      <c r="C9" s="78">
        <f>C4/Dados!D$15</f>
        <v>0.12</v>
      </c>
      <c r="D9" s="78">
        <f>D4/Dados!E$15</f>
        <v>0.115942029</v>
      </c>
      <c r="E9" s="78">
        <f>E4/Dados!F$15</f>
        <v>0.1860465116</v>
      </c>
      <c r="F9" s="78">
        <f>F4/Dados!G$15</f>
        <v>0.02777777778</v>
      </c>
      <c r="G9" s="78">
        <f>G4/Dados!H$15</f>
        <v>0.1025641026</v>
      </c>
      <c r="H9" s="78">
        <f>H4/Dados!I$15</f>
        <v>0.01818181818</v>
      </c>
      <c r="I9" s="78">
        <f>I4/Dados!J$15</f>
        <v>0.1666666667</v>
      </c>
      <c r="J9" s="78">
        <f>J4/Dados!K$15</f>
        <v>0.1538461538</v>
      </c>
      <c r="K9" s="78">
        <f>K4/Dados!L$15</f>
        <v>0.03448275862</v>
      </c>
      <c r="L9" s="78">
        <f>L4/Dados!M$15</f>
        <v>0.05128205128</v>
      </c>
      <c r="M9" s="78">
        <f>M4/Dados!N$15</f>
        <v>0.0406504065</v>
      </c>
      <c r="N9" s="78">
        <f>N4/Dados!O$15</f>
        <v>0.1204819277</v>
      </c>
      <c r="O9" s="78">
        <f>O4/Dados!P$15</f>
        <v>0.08474576271</v>
      </c>
    </row>
    <row r="10">
      <c r="A10" s="76" t="s">
        <v>10</v>
      </c>
      <c r="B10" s="79">
        <f>B5/Dados!C$15</f>
        <v>0.05208333333</v>
      </c>
      <c r="C10" s="79">
        <f>C5/Dados!D$15</f>
        <v>0</v>
      </c>
      <c r="D10" s="79">
        <f>D5/Dados!E$15</f>
        <v>0</v>
      </c>
      <c r="E10" s="79">
        <f>E5/Dados!F$15</f>
        <v>0</v>
      </c>
      <c r="F10" s="79">
        <f>F5/Dados!G$15</f>
        <v>0</v>
      </c>
      <c r="G10" s="79">
        <f>G5/Dados!H$15</f>
        <v>0</v>
      </c>
      <c r="H10" s="79">
        <f>H5/Dados!I$15</f>
        <v>0.2</v>
      </c>
      <c r="I10" s="79">
        <f>I5/Dados!J$15</f>
        <v>0.2666666667</v>
      </c>
      <c r="J10" s="79">
        <f>J5/Dados!K$15</f>
        <v>0.07692307692</v>
      </c>
      <c r="K10" s="79">
        <f>K5/Dados!L$15</f>
        <v>0.2068965517</v>
      </c>
      <c r="L10" s="79">
        <f>L5/Dados!M$15</f>
        <v>0.02564102564</v>
      </c>
      <c r="M10" s="79">
        <f>M5/Dados!N$15</f>
        <v>0</v>
      </c>
      <c r="N10" s="79">
        <f>N5/Dados!O$15</f>
        <v>0</v>
      </c>
      <c r="O10" s="79">
        <f>O5/Dados!P$15</f>
        <v>0.06779661017</v>
      </c>
    </row>
    <row r="12">
      <c r="A12" s="80" t="str">
        <f>Dados!B19</f>
        <v>Característica</v>
      </c>
      <c r="B12" s="81" t="str">
        <f>Dados!R19</f>
        <v>%</v>
      </c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</row>
    <row r="13">
      <c r="A13" s="80" t="str">
        <f>Dados!B20</f>
        <v>Mulher</v>
      </c>
      <c r="B13" s="81">
        <f>Dados!R20</f>
        <v>0.08792497069</v>
      </c>
    </row>
    <row r="14">
      <c r="A14" s="80" t="str">
        <f>Dados!B21</f>
        <v>Crianças e adolescentes</v>
      </c>
      <c r="B14" s="81">
        <f>Dados!R21</f>
        <v>0.04572098476</v>
      </c>
    </row>
    <row r="15">
      <c r="A15" s="80" t="str">
        <f>Dados!B22</f>
        <v>Capacete</v>
      </c>
      <c r="B15" s="81">
        <f>Dados!R22</f>
        <v>0.1313012896</v>
      </c>
    </row>
    <row r="16">
      <c r="A16" s="80" t="s">
        <v>12</v>
      </c>
      <c r="B16" s="81">
        <f>SUM(Dados!R23:R25)</f>
        <v>0.01524032825</v>
      </c>
    </row>
    <row r="17">
      <c r="A17" s="80" t="str">
        <f>Dados!B35</f>
        <v>Dados qualitativos das observações</v>
      </c>
      <c r="B17" s="80" t="str">
        <f>Dados!R35</f>
        <v/>
      </c>
    </row>
    <row r="18">
      <c r="A18" s="80" t="str">
        <f>Dados!B37</f>
        <v>Bike PE</v>
      </c>
      <c r="B18" s="81">
        <f>Dados!R37</f>
        <v>0</v>
      </c>
    </row>
    <row r="19">
      <c r="A19" s="80" t="str">
        <f>Dados!B39</f>
        <v>Triciclo</v>
      </c>
      <c r="B19" s="81">
        <f>Dados!R39</f>
        <v>0</v>
      </c>
    </row>
    <row r="20">
      <c r="A20" s="80" t="str">
        <f>Dados!B27</f>
        <v>Adaptada a carga</v>
      </c>
      <c r="B20" s="81">
        <f>Dados!R27</f>
        <v>0.01758499414</v>
      </c>
    </row>
    <row r="21">
      <c r="A21" s="82"/>
      <c r="B21" s="82"/>
    </row>
    <row r="22">
      <c r="A22" s="82"/>
      <c r="B22" s="82"/>
    </row>
    <row r="23">
      <c r="A23" s="82"/>
      <c r="B23" s="82"/>
    </row>
    <row r="24">
      <c r="A24" s="82"/>
      <c r="B24" s="82"/>
    </row>
    <row r="25">
      <c r="A25" s="82"/>
      <c r="B25" s="82"/>
    </row>
    <row r="26">
      <c r="A26" s="82"/>
      <c r="B26" s="82"/>
    </row>
    <row r="27">
      <c r="A27" s="82"/>
      <c r="B27" s="82"/>
    </row>
    <row r="28">
      <c r="A28" s="82"/>
      <c r="B28" s="82"/>
    </row>
    <row r="29">
      <c r="A29" s="82"/>
      <c r="B29" s="82"/>
    </row>
  </sheetData>
  <mergeCells count="2">
    <mergeCell ref="A1:O1"/>
    <mergeCell ref="A7:O7"/>
  </mergeCell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83" t="s">
        <v>59</v>
      </c>
      <c r="B1" s="84"/>
      <c r="C1" s="85"/>
      <c r="D1" s="86"/>
      <c r="E1" s="87" t="str">
        <f>UPPER(CONFFLUXO!A3)</f>
        <v>ROSARINHO</v>
      </c>
      <c r="F1" s="84"/>
      <c r="G1" s="85"/>
      <c r="H1" s="88"/>
      <c r="I1" s="88"/>
      <c r="J1" s="88"/>
      <c r="K1" s="88"/>
    </row>
    <row r="2" ht="22.5" customHeight="1">
      <c r="A2" s="83" t="s">
        <v>20</v>
      </c>
      <c r="B2" s="84"/>
      <c r="C2" s="85"/>
      <c r="D2" s="86"/>
      <c r="E2" s="89">
        <f>SUM(E3:G3)</f>
        <v>154</v>
      </c>
      <c r="F2" s="84"/>
      <c r="G2" s="85"/>
      <c r="H2" s="88"/>
      <c r="I2" s="88"/>
      <c r="J2" s="88"/>
      <c r="K2" s="88"/>
    </row>
    <row r="3" ht="22.5" customHeight="1">
      <c r="A3" s="90"/>
      <c r="B3" s="90"/>
      <c r="C3" s="90"/>
      <c r="D3" s="91"/>
      <c r="E3" s="92">
        <f>CONFFLUXO!Q3</f>
        <v>30</v>
      </c>
      <c r="F3" s="92">
        <f>CONFFLUXO!Q4</f>
        <v>0</v>
      </c>
      <c r="G3" s="92">
        <f>CONFFLUXO!Q5</f>
        <v>124</v>
      </c>
      <c r="H3" s="88"/>
      <c r="I3" s="88"/>
      <c r="J3" s="88"/>
      <c r="K3" s="88"/>
    </row>
    <row r="4" ht="25.5" customHeight="1">
      <c r="A4" s="93"/>
      <c r="B4" s="93"/>
      <c r="C4" s="90"/>
      <c r="D4" s="90"/>
      <c r="E4" s="88"/>
      <c r="F4" s="88"/>
      <c r="G4" s="88"/>
      <c r="H4" s="94"/>
      <c r="I4" s="94"/>
      <c r="J4" s="95"/>
      <c r="K4" s="95"/>
    </row>
    <row r="5" ht="71.25" customHeight="1">
      <c r="A5" s="96" t="str">
        <f>UPPER(CONFFLUXO!A12)</f>
        <v>JAQUEIRA</v>
      </c>
      <c r="B5" s="97">
        <f>SUM(C5:C7)</f>
        <v>499</v>
      </c>
      <c r="C5" s="98">
        <f>CONFFLUXO!Q14</f>
        <v>45</v>
      </c>
      <c r="D5" s="90"/>
      <c r="E5" s="88"/>
      <c r="F5" s="88"/>
      <c r="G5" s="88"/>
      <c r="H5" s="94"/>
      <c r="I5" s="99">
        <f>CONFFLUXO!Q6</f>
        <v>38</v>
      </c>
      <c r="J5" s="100">
        <f>SUM(I5:I7)</f>
        <v>200</v>
      </c>
      <c r="K5" s="101" t="str">
        <f>UPPER(CONFFLUXO!A6)</f>
        <v>GRAÇAS</v>
      </c>
    </row>
    <row r="6" ht="71.25" customHeight="1">
      <c r="A6" s="102"/>
      <c r="B6" s="102"/>
      <c r="C6" s="98">
        <f>CONFFLUXO!Q13</f>
        <v>454</v>
      </c>
      <c r="D6" s="90"/>
      <c r="E6" s="88"/>
      <c r="F6" s="103">
        <f>SUM(E3:G3,I5:I7,E9:G9,C5:C7)</f>
        <v>853</v>
      </c>
      <c r="G6" s="88"/>
      <c r="H6" s="94"/>
      <c r="I6" s="99">
        <f>CONFFLUXO!Q7</f>
        <v>162</v>
      </c>
      <c r="J6" s="102"/>
      <c r="K6" s="102"/>
    </row>
    <row r="7" ht="71.25" customHeight="1">
      <c r="A7" s="104"/>
      <c r="B7" s="104"/>
      <c r="C7" s="98">
        <f>CONFFLUXO!Q12</f>
        <v>0</v>
      </c>
      <c r="D7" s="90"/>
      <c r="E7" s="88"/>
      <c r="F7" s="88"/>
      <c r="G7" s="88"/>
      <c r="H7" s="94"/>
      <c r="I7" s="99">
        <f>CONFFLUXO!Q8</f>
        <v>0</v>
      </c>
      <c r="J7" s="104"/>
      <c r="K7" s="104"/>
    </row>
    <row r="8" ht="27.0" customHeight="1">
      <c r="A8" s="90"/>
      <c r="B8" s="90"/>
      <c r="C8" s="90"/>
      <c r="D8" s="90"/>
      <c r="E8" s="88"/>
      <c r="F8" s="88"/>
      <c r="G8" s="88"/>
      <c r="H8" s="88"/>
      <c r="I8" s="88"/>
      <c r="J8" s="88"/>
      <c r="K8" s="88"/>
    </row>
    <row r="9" ht="22.5" customHeight="1">
      <c r="A9" s="90"/>
      <c r="B9" s="90"/>
      <c r="C9" s="105"/>
      <c r="D9" s="105"/>
      <c r="E9" s="106">
        <f>CONFFLUXO!Q11</f>
        <v>0</v>
      </c>
      <c r="F9" s="106">
        <f>CONFFLUXO!Q10</f>
        <v>0</v>
      </c>
      <c r="G9" s="106">
        <f>CONFFLUXO!Q9</f>
        <v>0</v>
      </c>
      <c r="H9" s="88"/>
      <c r="I9" s="88"/>
      <c r="J9" s="88"/>
      <c r="K9" s="88"/>
    </row>
    <row r="10" ht="22.5" customHeight="1">
      <c r="A10" s="90"/>
      <c r="B10" s="90"/>
      <c r="C10" s="90"/>
      <c r="D10" s="90"/>
      <c r="E10" s="107">
        <f>SUM(E9:G9)</f>
        <v>0</v>
      </c>
      <c r="F10" s="84"/>
      <c r="G10" s="85"/>
      <c r="H10" s="88"/>
      <c r="I10" s="88"/>
      <c r="J10" s="88"/>
      <c r="K10" s="88"/>
    </row>
    <row r="11" ht="22.5" customHeight="1">
      <c r="A11" s="90"/>
      <c r="B11" s="90"/>
      <c r="C11" s="90"/>
      <c r="D11" s="90"/>
      <c r="E11" s="87" t="str">
        <f>UPPER(CONFFLUXO!A9)</f>
        <v>TORRE</v>
      </c>
      <c r="F11" s="84"/>
      <c r="G11" s="85"/>
      <c r="H11" s="88"/>
      <c r="I11" s="88"/>
      <c r="J11" s="88"/>
      <c r="K11" s="108">
        <f>MAX(3:3,I:I,9:9,C:C)</f>
        <v>454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4" t="s">
        <v>60</v>
      </c>
      <c r="B1" s="5"/>
    </row>
    <row r="2">
      <c r="A2" s="4" t="s">
        <v>61</v>
      </c>
      <c r="B2" s="5"/>
    </row>
    <row r="3">
      <c r="A3" s="4" t="s">
        <v>62</v>
      </c>
      <c r="B3" s="5"/>
    </row>
    <row r="4">
      <c r="A4" s="4" t="s">
        <v>63</v>
      </c>
      <c r="B4" s="5"/>
    </row>
  </sheetData>
  <drawing r:id="rId1"/>
</worksheet>
</file>